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c8522017f0f93c/Desktop/DECODELAB/"/>
    </mc:Choice>
  </mc:AlternateContent>
  <xr:revisionPtr revIDLastSave="3" documentId="8_{3B39EE4E-E86B-4C73-8B76-C471BA922DEB}" xr6:coauthVersionLast="47" xr6:coauthVersionMax="47" xr10:uidLastSave="{2DE06595-77C8-4880-8022-4E0CA85DDD08}"/>
  <bookViews>
    <workbookView xWindow="-120" yWindow="-120" windowWidth="20730" windowHeight="11160" activeTab="4" xr2:uid="{00000000-000D-0000-FFFF-FFFF00000000}"/>
  </bookViews>
  <sheets>
    <sheet name="CLEAN DATA" sheetId="2" r:id="rId1"/>
    <sheet name="STATISTICAL TABLE" sheetId="3" r:id="rId2"/>
    <sheet name="OUTLIERS" sheetId="5" r:id="rId3"/>
    <sheet name="KEY OBSERVATIONS" sheetId="7" r:id="rId4"/>
    <sheet name="MESSY DATA" sheetId="1" r:id="rId5"/>
  </sheets>
  <definedNames>
    <definedName name="ExternalData_1" localSheetId="0" hidden="1">'CLEAN DATA'!$A$1:$S$1201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A3" i="5"/>
  <c r="A2" i="5"/>
  <c r="B11" i="3"/>
  <c r="B12" i="3"/>
  <c r="B13" i="3"/>
  <c r="B16" i="3"/>
  <c r="B14" i="3"/>
  <c r="B15" i="3"/>
  <c r="B17" i="3"/>
  <c r="I11" i="3"/>
  <c r="I10" i="3"/>
  <c r="G2" i="3"/>
  <c r="G3" i="3"/>
  <c r="G4" i="3"/>
  <c r="D6" i="3"/>
  <c r="D7" i="3"/>
  <c r="C7" i="3"/>
  <c r="C6" i="3"/>
  <c r="B7" i="3"/>
  <c r="C5" i="3"/>
  <c r="B5" i="3"/>
  <c r="B6" i="3"/>
  <c r="D5" i="3"/>
  <c r="D4" i="3"/>
  <c r="C4" i="3"/>
  <c r="B4" i="3"/>
  <c r="D3" i="3"/>
  <c r="C3" i="3"/>
  <c r="B3" i="3"/>
  <c r="D2" i="3"/>
  <c r="C2" i="3"/>
  <c r="B2" i="3"/>
  <c r="B5" i="5" l="1"/>
  <c r="E2" i="5" s="1"/>
  <c r="E3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365A5-43A5-4592-A847-5A58F0BAF844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<sst xmlns="http://schemas.openxmlformats.org/spreadsheetml/2006/main" count="22666" uniqueCount="4333">
  <si>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</si>
  <si>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</si>
  <si>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</si>
  <si>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</si>
  <si>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</si>
  <si>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</si>
  <si>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</si>
  <si>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</si>
  <si>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</si>
  <si>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</si>
  <si>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</si>
  <si>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</si>
  <si>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</si>
  <si>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</si>
  <si>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</si>
  <si>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</si>
  <si>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</si>
  <si>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</si>
  <si>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</si>
  <si>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</si>
  <si>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</si>
  <si>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</si>
  <si>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</si>
  <si>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</si>
  <si>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</si>
  <si>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</si>
  <si>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</si>
  <si>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</si>
  <si>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</si>
  <si>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</si>
  <si>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</si>
  <si>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</si>
  <si>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</si>
  <si>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</si>
  <si>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</si>
  <si>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</si>
  <si>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</si>
  <si>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</si>
  <si>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</si>
  <si>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</si>
  <si>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</si>
  <si>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</si>
  <si>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</si>
  <si>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</si>
  <si>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</si>
  <si>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</si>
  <si>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</si>
  <si>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</si>
  <si>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</si>
  <si>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</si>
  <si>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</si>
  <si>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</si>
  <si>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</si>
  <si>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</si>
  <si>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</si>
  <si>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</si>
  <si>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</si>
  <si>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</si>
  <si>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</si>
  <si>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</si>
  <si>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</si>
  <si>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</si>
  <si>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</si>
  <si>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</si>
  <si>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</si>
  <si>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</si>
  <si>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</si>
  <si>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</si>
  <si>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</si>
  <si>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</si>
  <si>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</si>
  <si>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</si>
  <si>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</si>
  <si>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</si>
  <si>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</si>
  <si>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</si>
  <si>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</si>
  <si>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</si>
  <si>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</si>
  <si>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</si>
  <si>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</si>
  <si>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</si>
  <si>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</si>
  <si>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</si>
  <si>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</si>
  <si>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</si>
  <si>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</si>
  <si>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</si>
  <si>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</si>
  <si>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</si>
  <si>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</si>
  <si>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</si>
  <si>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</si>
  <si>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</si>
  <si>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</si>
  <si>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</si>
  <si>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</si>
  <si>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</si>
  <si>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</si>
  <si>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</si>
  <si>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</si>
  <si>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</si>
  <si>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</si>
  <si>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</si>
  <si>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</si>
  <si>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</si>
  <si>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</si>
  <si>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</si>
  <si>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</si>
  <si>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</si>
  <si>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</si>
  <si>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</si>
  <si>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</si>
  <si>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</si>
  <si>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</si>
  <si>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</si>
  <si>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</si>
  <si>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</si>
  <si>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</si>
  <si>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</si>
  <si>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</si>
  <si>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</si>
  <si>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</si>
  <si>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</si>
  <si>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</si>
  <si>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</si>
  <si>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</si>
  <si>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</si>
  <si>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</si>
  <si>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</si>
  <si>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</si>
  <si>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</si>
  <si>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</si>
  <si>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</si>
  <si>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</si>
  <si>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</si>
  <si>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</si>
  <si>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</si>
  <si>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</si>
  <si>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</si>
  <si>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</si>
  <si>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</si>
  <si>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</si>
  <si>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</si>
  <si>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</si>
  <si>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</si>
  <si>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</si>
  <si>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</si>
  <si>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</si>
  <si>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</si>
  <si>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</si>
  <si>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</si>
  <si>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</si>
  <si>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</si>
  <si>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</si>
  <si>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</si>
  <si>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</si>
  <si>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</si>
  <si>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</si>
  <si>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</si>
  <si>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</si>
  <si>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</si>
  <si>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</si>
  <si>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</si>
  <si>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</si>
  <si>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</si>
  <si>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</si>
  <si>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</si>
  <si>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</si>
  <si>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</si>
  <si>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</si>
  <si>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</si>
  <si>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</si>
  <si>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</si>
  <si>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</si>
  <si>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</si>
  <si>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</si>
  <si>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</si>
  <si>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</si>
  <si>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</si>
  <si>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</si>
  <si>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</si>
  <si>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</si>
  <si>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</si>
  <si>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</si>
  <si>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</si>
  <si>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</si>
  <si>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</si>
  <si>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</si>
  <si>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</si>
  <si>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</si>
  <si>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</si>
  <si>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</si>
  <si>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</si>
  <si>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</si>
  <si>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</si>
  <si>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</si>
  <si>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</si>
  <si>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</si>
  <si>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</si>
  <si>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</si>
  <si>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</si>
  <si>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</si>
  <si>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</si>
  <si>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</si>
  <si>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</si>
  <si>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</si>
  <si>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</si>
  <si>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</si>
  <si>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</si>
  <si>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</si>
  <si>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</si>
  <si>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</si>
  <si>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</si>
  <si>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</si>
  <si>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</si>
  <si>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</si>
  <si>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</si>
  <si>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</si>
  <si>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</si>
  <si>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</si>
  <si>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</si>
  <si>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</si>
  <si>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</si>
  <si>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</si>
  <si>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</si>
  <si>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</si>
  <si>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</si>
  <si>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</si>
  <si>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</si>
  <si>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</si>
  <si>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</si>
  <si>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</si>
  <si>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</si>
  <si>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</si>
  <si>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</si>
  <si>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</si>
  <si>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</si>
  <si>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</si>
  <si>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</si>
  <si>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</si>
  <si>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</si>
  <si>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</si>
  <si>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</si>
  <si>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</si>
  <si>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</si>
  <si>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</si>
  <si>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</si>
  <si>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</si>
  <si>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</si>
  <si>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</si>
  <si>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</si>
  <si>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</si>
  <si>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</si>
  <si>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</si>
  <si>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</si>
  <si>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</si>
  <si>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</si>
  <si>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</si>
  <si>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</si>
  <si>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</si>
  <si>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</si>
  <si>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</si>
  <si>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</si>
  <si>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</si>
  <si>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</si>
  <si>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</si>
  <si>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</si>
  <si>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</si>
  <si>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</si>
  <si>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</si>
  <si>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</si>
  <si>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</si>
  <si>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</si>
  <si>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</si>
  <si>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</si>
  <si>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</si>
  <si>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</si>
  <si>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</si>
  <si>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</si>
  <si>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</si>
  <si>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</si>
  <si>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</si>
  <si>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</si>
  <si>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</si>
  <si>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</si>
  <si>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</si>
  <si>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</si>
  <si>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</si>
  <si>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</si>
  <si>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</si>
  <si>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</si>
  <si>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</si>
  <si>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</si>
  <si>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</si>
  <si>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</si>
  <si>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</si>
  <si>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</si>
  <si>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</si>
  <si>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</si>
  <si>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</si>
  <si>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</si>
  <si>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</si>
  <si>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</si>
  <si>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</si>
  <si>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</si>
  <si>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</si>
  <si>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</si>
  <si>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</si>
  <si>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</si>
  <si>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</si>
  <si>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</si>
  <si>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</si>
  <si>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</si>
  <si>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</si>
  <si>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</si>
  <si>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</si>
  <si>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</si>
  <si>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</si>
  <si>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</si>
  <si>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</si>
  <si>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</si>
  <si>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</si>
  <si>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</si>
  <si>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</si>
  <si>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</si>
  <si>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</si>
  <si>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</si>
  <si>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</si>
  <si>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</si>
  <si>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</si>
  <si>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</si>
  <si>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</si>
  <si>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</si>
  <si>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</si>
  <si>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</si>
  <si>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</si>
  <si>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</si>
  <si>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</si>
  <si>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</si>
  <si>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</si>
  <si>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</si>
  <si>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</si>
  <si>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</si>
  <si>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</si>
  <si>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</si>
  <si>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</si>
  <si>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</si>
  <si>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</si>
  <si>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</si>
  <si>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</si>
  <si>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</si>
  <si>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</si>
  <si>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</si>
  <si>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</si>
  <si>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</si>
  <si>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</si>
  <si>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</si>
  <si>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</si>
  <si>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</si>
  <si>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</si>
  <si>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</si>
  <si>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</si>
  <si>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</si>
  <si>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</si>
  <si>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</si>
  <si>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</si>
  <si>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</si>
  <si>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</si>
  <si>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</si>
  <si>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</si>
  <si>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</si>
  <si>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</si>
  <si>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</si>
  <si>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</si>
  <si>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</si>
  <si>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</si>
  <si>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</si>
  <si>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</si>
  <si>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</si>
  <si>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</si>
  <si>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</si>
  <si>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</si>
  <si>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</si>
  <si>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</si>
  <si>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</si>
  <si>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</si>
  <si>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</si>
  <si>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</si>
  <si>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</si>
  <si>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</si>
  <si>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</si>
  <si>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</si>
  <si>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</si>
  <si>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</si>
  <si>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</si>
  <si>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</si>
  <si>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</si>
  <si>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</si>
  <si>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</si>
  <si>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</si>
  <si>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</si>
  <si>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</si>
  <si>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</si>
  <si>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</si>
  <si>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</si>
  <si>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</si>
  <si>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</si>
  <si>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</si>
  <si>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</si>
  <si>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</si>
  <si>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</si>
  <si>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</si>
  <si>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</si>
  <si>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</si>
  <si>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</si>
  <si>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</si>
  <si>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</si>
  <si>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</si>
  <si>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</si>
  <si>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</si>
  <si>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</si>
  <si>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</si>
  <si>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</si>
  <si>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</si>
  <si>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</si>
  <si>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</si>
  <si>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</si>
  <si>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</si>
  <si>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</si>
  <si>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</si>
  <si>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</si>
  <si>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</si>
  <si>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</si>
  <si>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</si>
  <si>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</si>
  <si>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</si>
  <si>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</si>
  <si>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</si>
  <si>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</si>
  <si>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</si>
  <si>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</si>
  <si>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</si>
  <si>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</si>
  <si>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</si>
  <si>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</si>
  <si>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</si>
  <si>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</si>
  <si>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</si>
  <si>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</si>
  <si>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</si>
  <si>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</si>
  <si>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</si>
  <si>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</si>
  <si>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</si>
  <si>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</si>
  <si>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</si>
  <si>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</si>
  <si>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</si>
  <si>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</si>
  <si>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</si>
  <si>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</si>
  <si>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</si>
  <si>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</si>
  <si>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</si>
  <si>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</si>
  <si>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</si>
  <si>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</si>
  <si>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</si>
  <si>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</si>
  <si>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</si>
  <si>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</si>
  <si>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</si>
  <si>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</si>
  <si>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</si>
  <si>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</si>
  <si>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</si>
  <si>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</si>
  <si>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</si>
  <si>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</si>
  <si>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</si>
  <si>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</si>
  <si>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</si>
  <si>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</si>
  <si>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</si>
  <si>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</si>
  <si>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</si>
  <si>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</si>
  <si>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</si>
  <si>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</si>
  <si>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</si>
  <si>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</si>
  <si>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</si>
  <si>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</si>
  <si>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</si>
  <si>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</si>
  <si>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</si>
  <si>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</si>
  <si>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</si>
  <si>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</si>
  <si>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</si>
  <si>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</si>
  <si>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</si>
  <si>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</si>
  <si>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</si>
  <si>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</si>
  <si>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</si>
  <si>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</si>
  <si>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</si>
  <si>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</si>
  <si>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</si>
  <si>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</si>
  <si>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</si>
  <si>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</si>
  <si>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</si>
  <si>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</si>
  <si>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</si>
  <si>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</si>
  <si>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</si>
  <si>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</si>
  <si>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</si>
  <si>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</si>
  <si>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</si>
  <si>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</si>
  <si>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</si>
  <si>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</si>
  <si>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</si>
  <si>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</si>
  <si>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</si>
  <si>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</si>
  <si>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</si>
  <si>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</si>
  <si>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</si>
  <si>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</si>
  <si>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</si>
  <si>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</si>
  <si>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</si>
  <si>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</si>
  <si>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</si>
  <si>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</si>
  <si>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</si>
  <si>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</si>
  <si>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</si>
  <si>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</si>
  <si>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</si>
  <si>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</si>
  <si>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</si>
  <si>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</si>
  <si>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</si>
  <si>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</si>
  <si>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</si>
  <si>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</si>
  <si>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</si>
  <si>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</si>
  <si>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</si>
  <si>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</si>
  <si>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</si>
  <si>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</si>
  <si>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</si>
  <si>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</si>
  <si>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</si>
  <si>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</si>
  <si>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</si>
  <si>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</si>
  <si>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</si>
  <si>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</si>
  <si>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</si>
  <si>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</si>
  <si>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</si>
  <si>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</si>
  <si>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</si>
  <si>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</si>
  <si>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</si>
  <si>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</si>
  <si>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</si>
  <si>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</si>
  <si>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</si>
  <si>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</si>
  <si>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</si>
  <si>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</si>
  <si>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</si>
  <si>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</si>
  <si>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</si>
  <si>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</si>
  <si>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</si>
  <si>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</si>
  <si>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</si>
  <si>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</si>
  <si>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</si>
  <si>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</si>
  <si>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</si>
  <si>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</si>
  <si>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</si>
  <si>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</si>
  <si>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</si>
  <si>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</si>
  <si>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</si>
  <si>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</si>
  <si>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</si>
  <si>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</si>
  <si>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</si>
  <si>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</si>
  <si>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</si>
  <si>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</si>
  <si>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</si>
  <si>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</si>
  <si>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</si>
  <si>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</si>
  <si>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</si>
  <si>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</si>
  <si>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</si>
  <si>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</si>
  <si>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</si>
  <si>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</si>
  <si>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</si>
  <si>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</si>
  <si>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</si>
  <si>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</si>
  <si>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</si>
  <si>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</si>
  <si>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</si>
  <si>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</si>
  <si>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</si>
  <si>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</si>
  <si>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</si>
  <si>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</si>
  <si>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</si>
  <si>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</si>
  <si>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</si>
  <si>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</si>
  <si>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</si>
  <si>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</si>
  <si>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</si>
  <si>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</si>
  <si>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</si>
  <si>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</si>
  <si>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</si>
  <si>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</si>
  <si>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</si>
  <si>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</si>
  <si>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</si>
  <si>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</si>
  <si>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</si>
  <si>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</si>
  <si>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</si>
  <si>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</si>
  <si>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</si>
  <si>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</si>
  <si>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</si>
  <si>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</si>
  <si>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</si>
  <si>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</si>
  <si>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</si>
  <si>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</si>
  <si>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</si>
  <si>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</si>
  <si>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</si>
  <si>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</si>
  <si>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</si>
  <si>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</si>
  <si>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</si>
  <si>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</si>
  <si>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</si>
  <si>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</si>
  <si>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</si>
  <si>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</si>
  <si>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</si>
  <si>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</si>
  <si>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</si>
  <si>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</si>
  <si>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</si>
  <si>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</si>
  <si>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</si>
  <si>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</si>
  <si>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</si>
  <si>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</si>
  <si>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</si>
  <si>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</si>
  <si>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</si>
  <si>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</si>
  <si>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</si>
  <si>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</si>
  <si>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</si>
  <si>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</si>
  <si>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</si>
  <si>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</si>
  <si>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</si>
  <si>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</si>
  <si>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</si>
  <si>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</si>
  <si>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</si>
  <si>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</si>
  <si>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</si>
  <si>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</si>
  <si>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</si>
  <si>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</si>
  <si>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</si>
  <si>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</si>
  <si>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</si>
  <si>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</si>
  <si>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</si>
  <si>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</si>
  <si>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</si>
  <si>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</si>
  <si>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</si>
  <si>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</si>
  <si>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</si>
  <si>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</si>
  <si>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</si>
  <si>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</si>
  <si>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</si>
  <si>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</si>
  <si>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</si>
  <si>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</si>
  <si>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</si>
  <si>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</si>
  <si>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</si>
  <si>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</si>
  <si>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</si>
  <si>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</si>
  <si>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</si>
  <si>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</si>
  <si>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</si>
  <si>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</si>
  <si>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</si>
  <si>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</si>
  <si>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</si>
  <si>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</si>
  <si>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</si>
  <si>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</si>
  <si>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</si>
  <si>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</si>
  <si>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</si>
  <si>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</si>
  <si>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</si>
  <si>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</si>
  <si>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</si>
  <si>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</si>
  <si>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</si>
  <si>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</si>
  <si>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</si>
  <si>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</si>
  <si>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</si>
  <si>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</si>
  <si>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</si>
  <si>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</si>
  <si>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</si>
  <si>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</si>
  <si>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</si>
  <si>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</si>
  <si>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</si>
  <si>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</si>
  <si>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</si>
  <si>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</si>
  <si>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</si>
  <si>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</si>
  <si>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</si>
  <si>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</si>
  <si>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</si>
  <si>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</si>
  <si>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</si>
  <si>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</si>
  <si>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</si>
  <si>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</si>
  <si>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</si>
  <si>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</si>
  <si>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</si>
  <si>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</si>
  <si>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</si>
  <si>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</si>
  <si>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</si>
  <si>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</si>
  <si>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</si>
  <si>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</si>
  <si>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</si>
  <si>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</si>
  <si>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</si>
  <si>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</si>
  <si>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</si>
  <si>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</si>
  <si>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</si>
  <si>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</si>
  <si>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</si>
  <si>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</si>
  <si>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</si>
  <si>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</si>
  <si>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</si>
  <si>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</si>
  <si>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</si>
  <si>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</si>
  <si>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</si>
  <si>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</si>
  <si>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</si>
  <si>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</si>
  <si>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</si>
  <si>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</si>
  <si>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</si>
  <si>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</si>
  <si>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</si>
  <si>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</si>
  <si>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</si>
  <si>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</si>
  <si>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</si>
  <si>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</si>
  <si>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</si>
  <si>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</si>
  <si>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</si>
  <si>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</si>
  <si>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</si>
  <si>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</si>
  <si>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</si>
  <si>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</si>
  <si>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</si>
  <si>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</si>
  <si>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</si>
  <si>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</si>
  <si>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</si>
  <si>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</si>
  <si>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</si>
  <si>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</si>
  <si>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</si>
  <si>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</si>
  <si>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</si>
  <si>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</si>
  <si>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</si>
  <si>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</si>
  <si>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</si>
  <si>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</si>
  <si>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</si>
  <si>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</si>
  <si>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</si>
  <si>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</si>
  <si>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</si>
  <si>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</si>
  <si>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</si>
  <si>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</si>
  <si>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</si>
  <si>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</si>
  <si>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</si>
  <si>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</si>
  <si>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</si>
  <si>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</si>
  <si>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</si>
  <si>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</si>
  <si>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</si>
  <si>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</si>
  <si>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</si>
  <si>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</si>
  <si>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</si>
  <si>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</si>
  <si>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</si>
  <si>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</si>
  <si>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</si>
  <si>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</si>
  <si>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</si>
  <si>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</si>
  <si>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</si>
  <si>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</si>
  <si>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</si>
  <si>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</si>
  <si>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</si>
  <si>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</si>
  <si>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</si>
  <si>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</si>
  <si>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</si>
  <si>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</si>
  <si>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</si>
  <si>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</si>
  <si>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</si>
  <si>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</si>
  <si>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</si>
  <si>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</si>
  <si>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</si>
  <si>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</si>
  <si>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</si>
  <si>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</si>
  <si>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</si>
  <si>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</si>
  <si>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</si>
  <si>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</si>
  <si>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</si>
  <si>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</si>
  <si>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</si>
  <si>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</si>
  <si>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</si>
  <si>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</si>
  <si>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</si>
  <si>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</si>
  <si>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</si>
  <si>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</si>
  <si>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</si>
  <si>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</si>
  <si>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</si>
  <si>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</si>
  <si>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</si>
  <si>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</si>
  <si>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</si>
  <si>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</si>
  <si>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</si>
  <si>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</si>
  <si>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</si>
  <si>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</si>
  <si>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</si>
  <si>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</si>
  <si>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</si>
  <si>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</si>
  <si>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</si>
  <si>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</si>
  <si>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</si>
  <si>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</si>
  <si>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</si>
  <si>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</si>
  <si>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</si>
  <si>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</si>
  <si>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</si>
  <si>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</si>
  <si>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</si>
  <si>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</si>
  <si>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</si>
  <si>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</si>
  <si>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</si>
  <si>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</si>
  <si>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</si>
  <si>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</si>
  <si>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</si>
  <si>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</si>
  <si>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</si>
  <si>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</si>
  <si>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</si>
  <si>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</si>
  <si>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</si>
  <si>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</si>
  <si>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</si>
  <si>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</si>
  <si>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</si>
  <si>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</si>
  <si>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</si>
  <si>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</si>
  <si>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</si>
  <si>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</si>
  <si>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</si>
  <si>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</si>
  <si>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</si>
  <si>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</si>
  <si>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</si>
  <si>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</si>
  <si>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</si>
  <si>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</si>
  <si>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</si>
  <si>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</si>
  <si>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</si>
  <si>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</si>
  <si>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</si>
  <si>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</si>
  <si>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</si>
  <si>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</si>
  <si>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</si>
  <si>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</si>
  <si>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</si>
  <si>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</si>
  <si>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</si>
  <si>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</si>
  <si>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</si>
  <si>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</si>
  <si>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</si>
  <si>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</si>
  <si>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</si>
  <si>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</si>
  <si>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</si>
  <si>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</si>
  <si>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</si>
  <si>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</si>
  <si>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</si>
  <si>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</si>
  <si>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</si>
  <si>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</si>
  <si>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</si>
  <si>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</si>
  <si>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</si>
  <si>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</si>
  <si>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</si>
  <si>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</si>
  <si>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</si>
  <si>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</si>
  <si>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</si>
  <si>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</si>
  <si>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</si>
  <si>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</si>
  <si>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</si>
  <si>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</si>
  <si>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</si>
  <si>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</si>
  <si>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</si>
  <si>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</si>
  <si>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</si>
  <si>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</si>
  <si>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</si>
  <si>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</si>
  <si>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</si>
  <si>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</si>
  <si>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</si>
  <si>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</si>
  <si>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</si>
  <si>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</si>
  <si>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</si>
  <si>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</si>
  <si>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</si>
  <si>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</si>
  <si>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</si>
  <si>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</si>
  <si>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</si>
  <si>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</si>
  <si>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</si>
  <si>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</si>
  <si>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</si>
  <si>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</si>
  <si>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</si>
  <si>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</si>
  <si>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</si>
  <si>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</si>
  <si>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</si>
  <si>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</si>
  <si>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</si>
  <si>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</si>
  <si>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</si>
  <si>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</si>
  <si>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</si>
  <si>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</si>
  <si>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</si>
  <si>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</si>
  <si>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</si>
  <si>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</si>
  <si>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</si>
  <si>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</si>
  <si>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</si>
  <si>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</si>
  <si>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</si>
  <si>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</si>
  <si>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</si>
  <si>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</si>
  <si>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</si>
  <si>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</si>
  <si>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</si>
  <si>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</si>
  <si>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</si>
  <si>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</si>
  <si>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</si>
  <si>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</si>
  <si>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</si>
  <si>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</si>
  <si>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</si>
  <si>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</si>
  <si>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</si>
  <si>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</si>
  <si>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</si>
  <si>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</si>
  <si>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</si>
  <si>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</si>
  <si>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</si>
  <si>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</si>
  <si>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</si>
  <si>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</si>
  <si>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</si>
  <si>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</si>
  <si>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</si>
  <si>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</si>
  <si>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</si>
  <si>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</si>
  <si>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</si>
  <si>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</si>
  <si>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</si>
  <si>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</si>
  <si>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</si>
  <si>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</si>
  <si>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</si>
  <si>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</si>
  <si>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</si>
  <si>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</si>
  <si>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</si>
  <si>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</si>
  <si>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</si>
  <si>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</si>
  <si>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</si>
  <si>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</si>
  <si>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</si>
  <si>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</si>
  <si>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</si>
  <si>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</si>
  <si>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</si>
  <si>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</si>
  <si>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</si>
  <si>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</si>
  <si>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</si>
  <si>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</si>
  <si>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</si>
  <si>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</si>
  <si>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</si>
  <si>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</si>
  <si>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</si>
  <si>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</si>
  <si>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</si>
  <si>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</si>
  <si>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</si>
  <si>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</si>
  <si>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</si>
  <si>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</si>
  <si>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</si>
  <si>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</si>
  <si>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</si>
  <si>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</si>
  <si>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</si>
  <si>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</si>
  <si>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</si>
  <si>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</si>
  <si>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</si>
  <si>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</si>
  <si>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</si>
  <si>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</si>
  <si>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</si>
  <si>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</si>
  <si>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</si>
  <si>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</si>
  <si>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</si>
  <si>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</si>
  <si>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</si>
  <si>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</si>
  <si>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</si>
  <si>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</si>
  <si>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</si>
  <si>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</si>
  <si>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</si>
  <si>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</si>
  <si>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</si>
  <si>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</si>
  <si>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</si>
  <si>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</si>
  <si>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</si>
  <si>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</si>
  <si>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</si>
  <si>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</si>
  <si>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</si>
  <si>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</si>
  <si>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</si>
  <si>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</si>
  <si>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</si>
  <si>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</si>
  <si>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</si>
  <si>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</si>
  <si>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</si>
  <si>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</si>
  <si>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</si>
  <si>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</si>
  <si>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</si>
  <si>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</si>
  <si>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</si>
  <si>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</si>
  <si>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</si>
  <si>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</si>
  <si>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</si>
  <si>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</si>
  <si>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</si>
  <si>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</si>
  <si>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</si>
  <si>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</si>
  <si>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</si>
  <si>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</si>
  <si>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</si>
  <si>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</si>
  <si>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</si>
  <si>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</si>
  <si>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</si>
  <si>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</si>
  <si>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</si>
  <si>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</si>
  <si>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</si>
  <si>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</si>
  <si>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</si>
  <si>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</si>
  <si>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</si>
  <si>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</si>
  <si>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</si>
  <si>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</si>
  <si>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</si>
  <si>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</si>
  <si>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</si>
  <si>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</si>
  <si>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</si>
  <si>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</si>
  <si>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</si>
  <si>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</si>
  <si>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</si>
  <si>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</si>
  <si>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</si>
  <si>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</si>
  <si>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</si>
  <si>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</si>
  <si>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</si>
  <si>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</si>
  <si>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</si>
  <si>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</si>
  <si>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</si>
  <si>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</si>
  <si>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</si>
  <si>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</si>
  <si>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</si>
  <si>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</si>
  <si>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</si>
  <si>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</si>
  <si>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</si>
  <si>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</si>
  <si>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</si>
  <si>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</si>
  <si>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</si>
  <si>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</si>
  <si>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</si>
  <si>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</si>
  <si>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</si>
  <si>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</si>
  <si>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</si>
  <si>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</si>
  <si>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</si>
  <si>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</si>
  <si>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</si>
  <si>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</si>
  <si>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</si>
  <si>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</si>
  <si>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</si>
  <si>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</si>
  <si>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</si>
  <si>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</si>
  <si>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</si>
  <si>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</si>
  <si>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</si>
  <si>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</si>
  <si>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</si>
  <si>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</si>
  <si>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</si>
  <si>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</si>
  <si>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</si>
  <si>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</si>
  <si>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</si>
  <si>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</si>
  <si>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</si>
  <si>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</si>
  <si>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</si>
  <si>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</si>
  <si>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</si>
  <si>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</si>
  <si>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</si>
  <si>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</si>
  <si>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</si>
  <si>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</si>
  <si>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</si>
  <si>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</si>
  <si>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</si>
  <si>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</si>
  <si>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</si>
  <si>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</si>
  <si>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</si>
  <si>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</si>
  <si>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</si>
  <si>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</si>
  <si>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</si>
  <si>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</si>
  <si>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</si>
  <si>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</si>
  <si>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</si>
  <si>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</si>
  <si>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</si>
  <si>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</si>
  <si>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</si>
  <si>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</si>
  <si>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</si>
  <si>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</si>
  <si>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</si>
  <si>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</si>
  <si>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</si>
  <si>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</si>
  <si>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</si>
  <si>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</si>
  <si>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</si>
  <si>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</si>
  <si>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</si>
  <si>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</si>
  <si>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</si>
  <si>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</si>
  <si>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</si>
  <si>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</si>
  <si>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</si>
  <si>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</si>
  <si>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</si>
  <si>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</si>
  <si>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</si>
  <si>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</si>
  <si>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</si>
  <si>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</si>
  <si>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</si>
  <si>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</si>
  <si>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</si>
  <si>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</si>
  <si>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</si>
  <si>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</si>
  <si>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</si>
  <si>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</si>
  <si>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</si>
  <si>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</si>
  <si>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</si>
  <si>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</si>
  <si>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</si>
  <si>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</si>
  <si>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</si>
  <si>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</si>
  <si>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</si>
  <si>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</si>
  <si>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</si>
  <si>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</si>
  <si>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</si>
  <si>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</si>
  <si>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</si>
  <si>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</si>
  <si>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</si>
  <si>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</si>
  <si>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</si>
  <si>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</si>
  <si>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</si>
  <si>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</si>
  <si>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</si>
  <si>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</si>
  <si>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</si>
  <si>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</si>
  <si>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</si>
  <si>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</si>
  <si>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</si>
  <si>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</si>
  <si>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</si>
  <si>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</si>
  <si>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</si>
  <si>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</si>
  <si>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</si>
  <si>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</si>
  <si>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</si>
  <si>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</si>
  <si>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</si>
  <si>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</si>
  <si>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</si>
  <si>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</si>
  <si>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</si>
  <si>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</si>
  <si>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</si>
  <si>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</si>
  <si>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</si>
  <si>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</si>
  <si>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</si>
  <si>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</si>
  <si>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</si>
  <si>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</si>
  <si>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</si>
  <si>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</si>
  <si>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</si>
  <si>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</si>
  <si>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</si>
  <si>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</si>
  <si>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</si>
  <si>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</si>
  <si>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</si>
  <si>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</si>
  <si>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</si>
  <si>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</si>
  <si>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</si>
  <si>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</si>
  <si>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</si>
  <si>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</si>
  <si>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</si>
  <si>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</si>
  <si>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</si>
  <si>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</si>
  <si>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</si>
  <si>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</si>
  <si>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</si>
  <si>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</si>
  <si>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</si>
  <si>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</si>
  <si>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</si>
  <si>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</si>
  <si>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</si>
  <si>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</si>
  <si>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</si>
  <si>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</si>
  <si>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</si>
  <si>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</si>
  <si>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</si>
  <si>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</si>
  <si>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</si>
  <si>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</si>
  <si>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</si>
  <si>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</si>
  <si>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</si>
  <si>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</si>
  <si>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</si>
  <si>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</si>
  <si>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</si>
  <si>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</si>
  <si>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</si>
  <si>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</si>
  <si>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</si>
  <si>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</si>
  <si>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</si>
  <si>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</si>
  <si>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</si>
  <si>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</si>
  <si>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</si>
  <si>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</si>
  <si>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</si>
  <si>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</si>
  <si>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</si>
  <si>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</si>
  <si>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</si>
  <si>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</si>
  <si>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</si>
  <si>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</si>
  <si>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</si>
  <si>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</si>
  <si>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</si>
  <si>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</si>
  <si>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</si>
  <si>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</si>
  <si>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</si>
  <si>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</si>
  <si>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</si>
  <si>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</si>
  <si>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</si>
  <si>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</si>
  <si>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</si>
  <si>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</si>
  <si>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</si>
  <si>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</si>
  <si>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</si>
  <si>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</si>
  <si>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</si>
  <si>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</si>
  <si>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</si>
  <si>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</si>
  <si>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</si>
  <si>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</si>
  <si>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</si>
  <si>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</si>
  <si>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</si>
  <si>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</si>
  <si>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</si>
  <si>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</si>
  <si>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</si>
  <si>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</si>
  <si>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</si>
  <si>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</si>
  <si>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</si>
  <si>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</si>
  <si>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</si>
  <si>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</si>
  <si>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</si>
  <si>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</si>
  <si>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</si>
  <si>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</si>
  <si>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</si>
  <si>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</si>
  <si>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</si>
  <si>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</si>
  <si>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</si>
  <si>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</si>
  <si>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</si>
  <si>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</si>
  <si>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</si>
  <si>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</si>
  <si>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</si>
  <si>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</si>
  <si>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</si>
  <si>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</si>
  <si>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</si>
  <si>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</si>
  <si>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</si>
  <si>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</si>
  <si>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</si>
  <si>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</si>
  <si>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</si>
  <si>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</si>
  <si>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</si>
  <si>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</si>
  <si>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</si>
  <si>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</si>
  <si>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</si>
  <si>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</si>
  <si>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</si>
  <si>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</si>
  <si>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</si>
  <si>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</si>
  <si>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</si>
  <si>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</si>
  <si>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</si>
  <si>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</si>
  <si>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</si>
  <si>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</si>
  <si>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</si>
  <si>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</si>
  <si>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</si>
  <si>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</si>
  <si>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</si>
  <si>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</si>
  <si>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</si>
  <si>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</si>
  <si>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</si>
  <si>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</si>
  <si>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</si>
  <si>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</si>
  <si>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</si>
  <si>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</si>
  <si>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</si>
  <si>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</si>
  <si>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</si>
  <si>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</si>
  <si>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</si>
  <si>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</si>
  <si>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</si>
  <si>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</si>
  <si>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</si>
  <si>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</si>
  <si>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</si>
  <si>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</si>
  <si>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</si>
  <si>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</si>
  <si>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</si>
  <si>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</si>
  <si>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</si>
  <si>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</si>
  <si>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</si>
  <si>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</si>
  <si>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</si>
  <si>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</si>
  <si>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</si>
  <si>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</si>
  <si>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</si>
  <si>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</si>
  <si>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</si>
  <si>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</si>
  <si>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</si>
  <si>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</si>
  <si>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</si>
  <si>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</si>
  <si>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</si>
  <si>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</si>
  <si>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</si>
  <si>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</si>
  <si>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</si>
  <si>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</si>
  <si>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</si>
  <si>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</si>
  <si>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</si>
  <si>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</si>
  <si>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</si>
  <si>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</si>
  <si>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</si>
  <si>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</si>
  <si>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</si>
  <si>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</si>
  <si>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</si>
  <si>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</si>
  <si>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</si>
  <si>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</si>
  <si>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</si>
  <si>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</si>
  <si>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</si>
  <si>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</si>
  <si>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</si>
  <si>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</si>
  <si>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</si>
  <si>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</si>
  <si>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</si>
  <si>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</si>
  <si>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</si>
  <si>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</si>
  <si>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</si>
  <si>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</si>
  <si>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</si>
  <si>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</si>
  <si>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</si>
  <si>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</si>
  <si>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</si>
  <si>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</si>
  <si>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</si>
  <si>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</si>
  <si>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</si>
  <si>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</si>
  <si>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</si>
  <si>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</si>
  <si>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</si>
  <si>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</si>
  <si>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</si>
  <si>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</si>
  <si>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</si>
  <si>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</si>
  <si>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</si>
  <si>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</si>
  <si>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</si>
  <si>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</si>
  <si>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</si>
  <si>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</si>
  <si>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</si>
  <si>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</si>
  <si>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</si>
  <si>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</si>
  <si>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</si>
  <si>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</si>
  <si>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</si>
  <si>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</si>
  <si>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</si>
  <si>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</si>
  <si>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</si>
  <si>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</si>
  <si>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</si>
  <si>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</si>
  <si>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</si>
  <si>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</si>
  <si>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</si>
  <si>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</si>
  <si>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</si>
  <si>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</si>
  <si>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</si>
  <si>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</si>
  <si>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</si>
  <si>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</si>
  <si>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</si>
  <si>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</si>
  <si>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</si>
  <si>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</si>
  <si>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</si>
  <si>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</si>
  <si>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</si>
  <si>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</si>
  <si>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</si>
  <si>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</si>
  <si>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</si>
  <si>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</si>
  <si>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</si>
  <si>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</si>
  <si>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</si>
  <si>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</si>
  <si>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</si>
  <si>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</si>
  <si>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</si>
  <si>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</si>
  <si>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</si>
  <si>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</si>
  <si>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</si>
  <si>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</si>
  <si>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</si>
  <si>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</si>
  <si>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</si>
  <si>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</si>
  <si>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</si>
  <si>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</si>
  <si>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</si>
  <si>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</si>
  <si>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</si>
  <si>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</si>
  <si>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</si>
  <si>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</si>
  <si>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</si>
  <si>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</si>
  <si>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</si>
  <si>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</si>
  <si>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</si>
  <si>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</si>
  <si>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</si>
  <si>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</si>
  <si>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</si>
  <si>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</si>
  <si>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</si>
  <si>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</si>
  <si>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</si>
  <si>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</si>
  <si>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</si>
  <si>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</si>
  <si>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</si>
  <si>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</si>
  <si>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</si>
  <si>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</si>
  <si>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</si>
  <si>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</si>
  <si>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</si>
  <si>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</si>
  <si>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</si>
  <si>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</si>
  <si>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</si>
  <si>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</si>
  <si>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</si>
  <si>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</si>
  <si>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</si>
  <si>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</si>
  <si>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</si>
  <si>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</si>
  <si>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</si>
  <si>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</si>
  <si>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</si>
  <si>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</si>
  <si>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</si>
  <si>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</si>
  <si>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</si>
  <si>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</si>
  <si>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</si>
  <si>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</si>
  <si>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</si>
  <si>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</si>
  <si>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</si>
  <si>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</si>
  <si>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</si>
  <si>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</si>
  <si>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</si>
  <si>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</si>
  <si>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</si>
  <si>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</si>
  <si>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</si>
  <si>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</si>
  <si>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</si>
  <si>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</si>
  <si>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</si>
  <si>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</si>
  <si>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</si>
  <si>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</si>
  <si>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</si>
  <si>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</si>
  <si>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</si>
  <si>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</si>
  <si>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</si>
  <si>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</si>
  <si>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</si>
  <si>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</si>
  <si>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</si>
  <si>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</si>
  <si>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</si>
  <si>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</si>
  <si>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</si>
  <si>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</si>
  <si>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</si>
  <si>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</si>
  <si>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</si>
  <si>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</si>
  <si>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</si>
  <si>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</si>
  <si>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</si>
  <si>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</si>
  <si>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</si>
  <si>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</si>
  <si>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</si>
  <si>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</si>
  <si>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</si>
  <si>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</si>
  <si>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</si>
  <si>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</si>
  <si>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</si>
  <si>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</si>
  <si>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</si>
  <si>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</si>
  <si>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</si>
  <si>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</si>
  <si>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</si>
  <si>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</si>
  <si>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</si>
  <si>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</si>
  <si>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</si>
  <si>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</si>
  <si>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</si>
  <si>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</si>
  <si>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</si>
  <si>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</si>
  <si>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</si>
  <si>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</si>
  <si>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</si>
  <si>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</si>
  <si>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</si>
  <si>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</si>
  <si>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</si>
  <si>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</si>
  <si>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</si>
  <si>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</si>
  <si>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</si>
  <si>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</si>
  <si>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</si>
  <si>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</si>
  <si>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</si>
  <si>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</si>
  <si>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</si>
  <si>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</si>
  <si>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</si>
  <si>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</si>
  <si>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</si>
  <si>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</si>
  <si>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</si>
  <si>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</si>
  <si>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</si>
  <si>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</si>
  <si>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</si>
  <si>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</si>
  <si>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</si>
  <si>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</si>
  <si>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</si>
  <si>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</si>
  <si>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</si>
  <si>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</si>
  <si>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</si>
  <si>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</si>
  <si>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</si>
  <si>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</si>
  <si>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</si>
  <si>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</si>
  <si>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</si>
  <si>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</si>
  <si>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</si>
  <si>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</si>
  <si>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</si>
  <si>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</si>
  <si>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</si>
  <si>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</si>
  <si>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</si>
  <si>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</si>
  <si>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</si>
  <si>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</si>
  <si>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</si>
  <si>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</si>
  <si>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</si>
  <si>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</si>
  <si>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</si>
  <si>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</si>
  <si>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</si>
  <si>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</si>
  <si>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</si>
  <si>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</si>
  <si>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</si>
  <si>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</si>
  <si>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</si>
  <si>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</si>
  <si>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</si>
  <si>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</si>
  <si>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</si>
  <si>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</si>
  <si>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</si>
  <si>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</si>
  <si>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</si>
  <si>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</si>
  <si>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</si>
  <si>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</si>
  <si>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</si>
  <si>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</si>
  <si>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</si>
  <si>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</si>
  <si>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</si>
  <si>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</si>
  <si>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</si>
  <si>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</si>
  <si>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</si>
  <si>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</si>
  <si>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</si>
  <si>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</si>
  <si>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</si>
  <si>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</si>
  <si>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</si>
  <si>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</si>
  <si>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</si>
  <si>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</si>
  <si>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</si>
  <si>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</si>
  <si>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</si>
  <si>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</si>
  <si>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</si>
  <si>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</si>
  <si>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</si>
  <si>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</si>
  <si>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</si>
  <si>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</si>
  <si>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</si>
  <si>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</si>
  <si>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</si>
  <si>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</si>
  <si>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</si>
  <si>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</si>
  <si>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</si>
  <si>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</si>
  <si>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</si>
  <si>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</si>
  <si>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</si>
  <si>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</si>
  <si>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</si>
  <si>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</si>
  <si>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</si>
  <si>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</si>
  <si>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</si>
  <si>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</si>
  <si>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</si>
  <si>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</si>
  <si>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</si>
  <si>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</si>
  <si>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</si>
  <si>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</si>
  <si>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</si>
  <si>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</si>
  <si>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</si>
  <si>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</si>
  <si>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</si>
  <si>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</si>
  <si>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</si>
  <si>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</si>
  <si>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</si>
  <si>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</si>
  <si>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</si>
  <si>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</si>
  <si>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</si>
  <si>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</si>
  <si>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</si>
  <si>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</si>
  <si>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</si>
  <si>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</si>
  <si>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</si>
  <si>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</si>
  <si>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</si>
  <si>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</si>
  <si>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</si>
  <si>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</si>
  <si>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</si>
  <si>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</si>
  <si>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</si>
  <si>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</si>
  <si>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</si>
  <si>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</si>
  <si>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</si>
  <si>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</si>
  <si>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</si>
  <si>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</si>
  <si>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</si>
  <si>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</si>
  <si>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</si>
  <si>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</si>
  <si>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</si>
  <si>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</si>
  <si>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</si>
  <si>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</si>
  <si>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</si>
  <si>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</si>
  <si>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</si>
  <si>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</si>
  <si>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</si>
  <si>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</si>
  <si>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</si>
  <si>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</si>
  <si>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</si>
  <si>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</si>
  <si>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</si>
  <si>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</si>
  <si>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</si>
  <si>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</si>
  <si>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</si>
  <si>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</si>
  <si>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</si>
  <si>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</si>
  <si>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</si>
  <si>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</si>
  <si>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</si>
  <si>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</si>
  <si>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</si>
  <si>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</si>
  <si>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</si>
  <si>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</si>
  <si>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</si>
  <si>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</si>
  <si>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</si>
  <si>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</si>
  <si>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</si>
  <si>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</si>
  <si>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</si>
  <si>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</si>
  <si>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</si>
  <si>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</si>
  <si>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</si>
  <si>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</si>
  <si>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</si>
  <si>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</si>
  <si>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</si>
  <si>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</si>
  <si>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</si>
  <si>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</si>
  <si>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</si>
  <si>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</si>
  <si>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</si>
  <si>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</si>
  <si>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</si>
  <si>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</si>
  <si>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</si>
  <si>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</si>
  <si>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</si>
  <si>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</si>
  <si>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</si>
  <si>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</si>
  <si>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</si>
  <si>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</si>
  <si>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</si>
  <si>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</si>
  <si>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</si>
  <si>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</si>
  <si>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</si>
  <si>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</si>
  <si>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</si>
  <si>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</si>
  <si>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</si>
  <si>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</si>
  <si>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</si>
  <si>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</si>
  <si>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</si>
  <si>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</si>
  <si>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</si>
  <si>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</si>
  <si>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</si>
  <si>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</si>
  <si>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</si>
  <si>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</si>
  <si>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</si>
  <si>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</si>
  <si>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</si>
  <si>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</si>
  <si>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</si>
  <si>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</si>
  <si>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</si>
  <si>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</si>
  <si>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</si>
  <si>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</si>
  <si>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</si>
  <si>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</si>
  <si>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</si>
  <si>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</si>
  <si>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</si>
  <si>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</si>
  <si>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</si>
  <si>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</si>
  <si>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</si>
  <si>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</si>
  <si>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</si>
  <si>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</si>
  <si>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</si>
  <si>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</si>
  <si>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</si>
  <si>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</si>
  <si>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</si>
  <si>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</si>
  <si>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</si>
  <si>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</si>
  <si>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</si>
  <si>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</si>
  <si>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</si>
  <si>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</si>
  <si>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</si>
  <si>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</si>
  <si>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</si>
  <si>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</si>
  <si>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</si>
  <si>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</si>
  <si>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</si>
  <si>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</si>
  <si>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</si>
  <si>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</si>
  <si>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</si>
  <si>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</si>
  <si>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</si>
  <si>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</si>
  <si>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</si>
  <si>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</si>
  <si>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</si>
  <si>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</si>
  <si>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</si>
  <si>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</si>
  <si>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</si>
  <si>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</si>
  <si>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</si>
  <si>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</si>
  <si>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</si>
  <si>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</si>
  <si>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</si>
  <si>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</si>
  <si>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</si>
  <si>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</si>
  <si>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</si>
  <si>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</si>
  <si>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</si>
  <si>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</si>
  <si>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</si>
  <si>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</si>
  <si>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</si>
  <si>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</si>
  <si>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</si>
  <si>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</si>
  <si>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</si>
  <si>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</si>
  <si>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</si>
  <si>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</si>
  <si>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</si>
  <si>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</si>
  <si>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</si>
  <si>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</si>
  <si>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</si>
  <si>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</si>
  <si>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</si>
  <si>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</si>
  <si>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</si>
  <si>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</si>
  <si>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</si>
  <si>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</si>
  <si>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</si>
  <si>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</si>
  <si>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</si>
  <si>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</si>
  <si>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</si>
  <si>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</si>
  <si>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</si>
  <si>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</si>
  <si>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</si>
  <si>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</si>
  <si>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</si>
  <si>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</si>
  <si>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</si>
  <si>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</si>
  <si>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</si>
  <si>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</si>
  <si>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</si>
  <si>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</si>
  <si>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</si>
  <si>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</si>
  <si>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</si>
  <si>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</si>
  <si>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</si>
  <si>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</si>
  <si>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</si>
  <si>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</si>
  <si>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</si>
  <si>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</si>
  <si>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</si>
  <si>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</si>
  <si>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</si>
  <si>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</si>
  <si>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</si>
  <si>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</si>
  <si>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</si>
  <si>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</si>
  <si>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</si>
  <si>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</si>
  <si>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</si>
  <si>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</si>
  <si>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</si>
  <si>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</si>
  <si>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</si>
  <si>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</si>
  <si>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</si>
  <si>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</si>
  <si>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</si>
  <si>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</si>
  <si>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</si>
  <si>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</si>
  <si>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</si>
  <si>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</si>
  <si>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</si>
  <si>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</si>
  <si>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</si>
  <si>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</si>
  <si>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</si>
  <si>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</si>
  <si>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</si>
  <si>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</si>
  <si>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</si>
  <si>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</si>
  <si>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</si>
  <si>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</si>
  <si>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</si>
  <si>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</si>
  <si>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</si>
  <si>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</si>
  <si>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</si>
  <si>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</si>
  <si>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</si>
  <si>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</si>
  <si>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</si>
  <si>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</si>
  <si>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</si>
  <si>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</si>
  <si>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</si>
  <si>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</si>
  <si>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</si>
  <si>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</si>
  <si>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</si>
  <si>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</si>
  <si>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</si>
  <si>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</si>
  <si>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</si>
  <si>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</si>
  <si>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</si>
  <si>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</si>
  <si>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</si>
  <si>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</si>
  <si>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</si>
  <si>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</si>
  <si>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</si>
  <si>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</si>
  <si>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</si>
  <si>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</si>
  <si>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</si>
  <si>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</si>
  <si>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</si>
  <si>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</si>
  <si>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</si>
  <si>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</si>
  <si>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</si>
  <si>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</si>
  <si>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</si>
  <si>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</si>
  <si>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</si>
  <si>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</si>
  <si>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</si>
  <si>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</si>
  <si>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</si>
  <si>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</si>
  <si>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</si>
  <si>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</si>
  <si>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</si>
  <si>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</si>
  <si>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</si>
  <si>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</si>
  <si>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</si>
  <si>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</si>
  <si>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</si>
  <si>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</si>
  <si>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</si>
  <si>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</si>
  <si>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</si>
  <si>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</si>
  <si>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</si>
  <si>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</si>
  <si>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</si>
  <si>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</si>
  <si>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</si>
  <si>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</si>
  <si>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</si>
  <si>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</si>
  <si>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</si>
  <si>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</si>
  <si>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</si>
  <si>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</si>
  <si>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</si>
  <si>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</si>
  <si>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</si>
  <si>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</si>
  <si>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</si>
  <si>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</si>
  <si>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</si>
  <si>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</si>
  <si>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</si>
  <si>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</si>
  <si>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</si>
  <si>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</si>
  <si>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</si>
  <si>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</si>
  <si>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</si>
  <si>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</si>
  <si>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</si>
  <si>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</si>
  <si>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</si>
  <si>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</si>
  <si>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</si>
  <si>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</si>
  <si>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</si>
  <si>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</si>
  <si>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</si>
  <si>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</si>
  <si>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</si>
  <si>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</si>
  <si>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</si>
  <si>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</si>
  <si>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</si>
  <si>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</si>
  <si>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</si>
  <si>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</si>
  <si>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</si>
  <si>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</si>
  <si>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</si>
  <si>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</si>
  <si>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</si>
  <si>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</si>
  <si>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</si>
  <si>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</si>
  <si>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</si>
  <si>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</si>
  <si>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</si>
  <si>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</si>
  <si>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</si>
  <si>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</si>
  <si>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</si>
  <si>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</si>
  <si>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</si>
  <si>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</si>
  <si>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</si>
  <si>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</si>
  <si>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</si>
  <si>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</si>
  <si>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</si>
  <si>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</si>
  <si>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</si>
  <si>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</si>
  <si>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</si>
  <si>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</si>
  <si>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</si>
  <si>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</si>
  <si>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</si>
  <si>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</si>
  <si>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</si>
  <si>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</si>
  <si>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</si>
  <si>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</si>
  <si>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</si>
  <si>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</si>
  <si>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</si>
  <si>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</si>
  <si>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</si>
  <si>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</si>
  <si>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</si>
  <si>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</si>
  <si>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</si>
  <si>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</si>
  <si>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</si>
  <si>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</si>
  <si>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</si>
  <si>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</si>
  <si>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</si>
  <si>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</si>
  <si>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</si>
  <si>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</si>
  <si>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</si>
  <si>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</si>
  <si>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</si>
  <si>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</si>
  <si>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</si>
  <si>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</si>
  <si>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</si>
  <si>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</si>
  <si>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</si>
  <si>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</si>
  <si>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</si>
  <si>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</si>
  <si>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</si>
  <si>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</si>
  <si>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</si>
  <si>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</si>
  <si>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</si>
  <si>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</si>
  <si>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</si>
  <si>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</si>
  <si>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</si>
  <si>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</si>
  <si>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</si>
  <si>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</si>
  <si>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</si>
  <si>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</si>
  <si>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</si>
  <si>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</si>
  <si>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</si>
  <si>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</si>
  <si>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</si>
  <si>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</si>
  <si>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</si>
  <si>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</si>
  <si>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</si>
  <si>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</si>
  <si>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</si>
  <si>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</si>
  <si>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</si>
  <si>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</si>
  <si>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</si>
  <si>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</si>
  <si>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</si>
  <si>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</si>
  <si>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</si>
  <si>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</si>
  <si>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</si>
  <si>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</si>
  <si>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</si>
  <si>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</si>
  <si>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</si>
  <si>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</si>
  <si>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</si>
  <si>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</si>
  <si>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</si>
  <si>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</si>
  <si>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</si>
  <si>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</si>
  <si>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</si>
  <si>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</si>
  <si>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</si>
  <si>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</si>
  <si>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</si>
  <si>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</si>
  <si>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</si>
  <si>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</si>
  <si>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</si>
  <si>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</si>
  <si>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</si>
  <si>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</si>
  <si>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</si>
  <si>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</si>
  <si>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</si>
  <si>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</si>
  <si>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</si>
  <si>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</si>
  <si>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</si>
  <si>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</si>
  <si>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</si>
  <si>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</si>
  <si>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</si>
  <si>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</si>
  <si>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</si>
  <si>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</si>
  <si>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</si>
  <si>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</si>
  <si>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</si>
  <si>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</si>
  <si>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</si>
  <si>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</si>
  <si>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</si>
  <si>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</si>
  <si>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</si>
  <si>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</si>
  <si>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</si>
  <si>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</si>
  <si>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</si>
  <si>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</si>
  <si>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</si>
  <si>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</si>
  <si>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</si>
  <si>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</si>
  <si>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</si>
  <si>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</si>
  <si>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</si>
  <si>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</si>
  <si>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</si>
  <si>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</si>
  <si>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</si>
  <si>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</si>
  <si>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</si>
  <si>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</si>
  <si>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</si>
  <si>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</si>
  <si>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</si>
  <si>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</si>
  <si>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</si>
  <si>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</si>
  <si>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</si>
  <si>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</si>
  <si>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</si>
  <si>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</si>
  <si>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</si>
  <si>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</si>
  <si>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</si>
  <si>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</si>
  <si>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</si>
  <si>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</si>
  <si>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</si>
  <si>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</si>
  <si>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</si>
  <si>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</si>
  <si>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</si>
  <si>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</si>
  <si>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</si>
  <si>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</si>
  <si>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</si>
  <si>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</si>
  <si>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</si>
  <si>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</si>
  <si>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</si>
  <si>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</si>
  <si>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</si>
  <si>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</si>
  <si>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</si>
  <si>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</si>
  <si>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</si>
  <si>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</si>
  <si>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</si>
  <si>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</si>
  <si>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</si>
  <si>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</si>
  <si>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</si>
  <si>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</si>
  <si>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</si>
  <si>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</si>
  <si>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</si>
  <si>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</si>
  <si>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</si>
  <si>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</si>
  <si>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</si>
  <si>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</si>
  <si>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</si>
  <si>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</si>
  <si>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</si>
  <si>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</si>
  <si>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</si>
  <si>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</si>
  <si>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</si>
  <si>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</si>
  <si>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</si>
  <si>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</si>
  <si>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</si>
  <si>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</si>
  <si>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</si>
  <si>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</si>
  <si>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</si>
  <si>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</si>
  <si>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</si>
  <si>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</si>
  <si>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</si>
  <si>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</si>
  <si>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</si>
  <si>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</si>
  <si>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</si>
  <si>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</si>
  <si>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</si>
  <si>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</si>
  <si>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</si>
  <si>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</si>
  <si>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</si>
  <si>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</si>
  <si>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</si>
  <si>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</si>
  <si>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</si>
  <si>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</si>
  <si>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</si>
  <si>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</si>
  <si>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</si>
  <si>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</si>
  <si>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</si>
  <si>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</si>
  <si>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</si>
  <si>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</si>
  <si>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</si>
  <si>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</si>
  <si>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</si>
  <si>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</si>
  <si>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</si>
  <si>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</si>
  <si>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</si>
  <si>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</si>
  <si>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</si>
  <si>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</si>
  <si>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</si>
  <si>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</si>
  <si>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</si>
  <si>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</si>
  <si>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</si>
  <si>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</si>
  <si>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</si>
  <si>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</si>
  <si>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</si>
  <si>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</si>
  <si>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</si>
  <si>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</si>
  <si>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</si>
  <si>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</si>
  <si>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</si>
  <si>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</si>
  <si>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</si>
  <si>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</si>
  <si>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</si>
  <si>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</si>
  <si>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</si>
  <si>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</si>
  <si>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</si>
  <si>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</si>
  <si>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</si>
  <si>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</si>
  <si>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</si>
  <si>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</si>
  <si>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</si>
  <si>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</si>
  <si>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</si>
  <si>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</si>
  <si>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</si>
  <si>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</si>
  <si>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</si>
  <si>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</si>
  <si>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</si>
  <si>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</si>
  <si>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</si>
  <si>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</si>
  <si>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</si>
  <si>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</si>
  <si>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</si>
  <si>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</si>
  <si>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</si>
  <si>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</si>
  <si>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</si>
  <si>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</si>
  <si>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</si>
  <si>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</si>
  <si>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</si>
  <si>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</si>
  <si>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</si>
  <si>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</si>
  <si>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</si>
  <si>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</si>
  <si>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</si>
  <si>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</si>
  <si>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</si>
  <si>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</si>
  <si>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</si>
  <si>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</si>
  <si>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</si>
  <si>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</si>
  <si>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</si>
  <si>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</si>
  <si>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</si>
  <si>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</si>
  <si>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</si>
  <si>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</si>
  <si>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</si>
  <si>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</si>
  <si>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</si>
  <si>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</si>
  <si>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</si>
  <si>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</si>
  <si>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</si>
  <si>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</si>
  <si>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</si>
  <si>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</si>
  <si>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</si>
  <si>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</si>
  <si>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</si>
  <si>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</si>
  <si>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</si>
  <si>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</si>
  <si>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</si>
  <si>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</si>
  <si>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</si>
  <si>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</si>
  <si>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</si>
  <si>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</si>
  <si>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</si>
  <si>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</si>
  <si>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</si>
  <si>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</si>
  <si>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</si>
  <si>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</si>
  <si>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</si>
  <si>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</si>
  <si>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</si>
  <si>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</si>
  <si>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</si>
  <si>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</si>
  <si>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</si>
  <si>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</si>
  <si>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</si>
  <si>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</si>
  <si>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</si>
  <si>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</si>
  <si>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</si>
  <si>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</si>
  <si>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</si>
  <si>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</si>
  <si>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</si>
  <si>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</si>
  <si>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</si>
  <si>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</si>
  <si>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</si>
  <si>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</si>
  <si>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</si>
  <si>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</si>
  <si>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</si>
  <si>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</si>
  <si>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</si>
  <si>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</si>
  <si>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</si>
  <si>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</si>
  <si>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</si>
  <si>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</si>
  <si>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</si>
  <si>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</si>
  <si>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</si>
  <si>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</si>
  <si>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</si>
  <si>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</si>
  <si>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</si>
  <si>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</si>
  <si>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</si>
  <si>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</si>
  <si>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</si>
  <si>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</si>
  <si>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</si>
  <si>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</si>
  <si>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</si>
  <si>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</si>
  <si>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</si>
  <si>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</si>
  <si>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</si>
  <si>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</si>
  <si>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</si>
  <si>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</si>
  <si>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</si>
  <si>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</si>
  <si>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</si>
  <si>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</si>
  <si>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</si>
  <si>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</si>
  <si>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</si>
  <si>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</si>
  <si>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</si>
  <si>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</si>
  <si>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</si>
  <si>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</si>
  <si>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</si>
  <si>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</si>
  <si>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</si>
  <si>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</si>
  <si>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</si>
  <si>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</si>
  <si>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</si>
  <si>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</si>
  <si>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</si>
  <si>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</si>
  <si>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</si>
  <si>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</si>
  <si>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</si>
  <si>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</si>
  <si>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</si>
  <si>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</si>
  <si>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</si>
  <si>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</si>
  <si>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</si>
  <si>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</si>
  <si>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</si>
  <si>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</si>
  <si>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</si>
  <si>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</si>
  <si>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</si>
  <si>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</si>
  <si>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</si>
  <si>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</si>
  <si>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</si>
  <si>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</si>
  <si>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</si>
  <si>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</si>
  <si>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</si>
  <si>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</si>
  <si>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</si>
  <si>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</si>
  <si>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</si>
  <si>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</si>
  <si>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</si>
  <si>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</si>
  <si>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</si>
  <si>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</si>
  <si>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</si>
  <si>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</si>
  <si>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</si>
  <si>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</si>
  <si>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</si>
  <si>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</si>
  <si>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</si>
  <si>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</si>
  <si>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</si>
  <si>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</si>
  <si>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</si>
  <si>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</si>
  <si>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</si>
  <si>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</si>
  <si>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</si>
  <si>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</si>
  <si>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</si>
  <si>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</si>
  <si>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</si>
  <si>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</si>
  <si>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</si>
  <si>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</si>
  <si>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</si>
  <si>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</si>
  <si>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</si>
  <si>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</si>
  <si>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</si>
  <si>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</si>
  <si>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</si>
  <si>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</si>
  <si>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</si>
  <si>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</si>
  <si>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</si>
  <si>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</si>
  <si>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</si>
  <si>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</si>
  <si>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</si>
  <si>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</si>
  <si>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</si>
  <si>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</si>
  <si>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</si>
  <si>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</si>
  <si>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</si>
  <si>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</si>
  <si>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</si>
  <si>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</si>
  <si>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</si>
  <si>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</si>
  <si>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</si>
  <si>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</si>
  <si>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</si>
  <si>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</si>
  <si>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</si>
  <si>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</si>
  <si>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</si>
  <si>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</si>
  <si>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</si>
  <si>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</si>
  <si>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</si>
  <si>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</si>
  <si>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</si>
  <si>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</si>
  <si>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</si>
  <si>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</si>
  <si>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</si>
  <si>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</si>
  <si>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</si>
  <si>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</si>
  <si>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</si>
  <si>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</si>
  <si>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</si>
  <si>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</si>
  <si>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</si>
  <si>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</si>
  <si>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</si>
  <si>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</si>
  <si>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</si>
  <si>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</si>
  <si>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</si>
  <si>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</si>
  <si>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</si>
  <si>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</si>
  <si>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</si>
  <si>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</si>
  <si>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</si>
  <si>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</si>
  <si>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</si>
  <si>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</si>
  <si>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</si>
  <si>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</si>
  <si>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</si>
  <si>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</si>
  <si>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</si>
  <si>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</si>
  <si>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</si>
  <si>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</si>
  <si>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</si>
  <si>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</si>
  <si>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</si>
  <si>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</si>
  <si>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</si>
  <si>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</si>
  <si>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</si>
  <si>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</si>
  <si>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</si>
  <si>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</si>
  <si>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</si>
  <si>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</si>
  <si>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</si>
  <si>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</si>
  <si>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</si>
  <si>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</si>
  <si>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</si>
  <si>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</si>
  <si>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</si>
  <si>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</si>
  <si>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</si>
  <si>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</si>
  <si>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</si>
  <si>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</si>
  <si>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</si>
  <si>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</si>
  <si>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</si>
  <si>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</si>
  <si>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</si>
  <si>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</si>
  <si>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</si>
  <si>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</si>
  <si>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</si>
  <si>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</si>
  <si>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</si>
  <si>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</si>
  <si>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</si>
  <si>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</si>
  <si>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</si>
  <si>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</si>
  <si>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</si>
  <si>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</si>
  <si>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</si>
  <si>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</si>
  <si>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</si>
  <si>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</si>
  <si>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</si>
  <si>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</si>
  <si>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</si>
  <si>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</si>
  <si>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</si>
  <si>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</si>
  <si>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</si>
  <si>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</si>
  <si>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</si>
  <si>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</si>
  <si>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</si>
  <si>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</si>
  <si>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</si>
  <si>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</si>
  <si>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</si>
  <si>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</si>
  <si>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</si>
  <si>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</si>
  <si>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</si>
  <si>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</si>
  <si>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</si>
  <si>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</si>
  <si>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</si>
  <si>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</si>
  <si>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</si>
  <si>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</si>
  <si>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</si>
  <si>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</si>
  <si>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</si>
  <si>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</si>
  <si>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</si>
  <si>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</si>
  <si>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</si>
  <si>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</si>
  <si>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</si>
  <si>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</si>
  <si>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</si>
  <si>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</si>
  <si>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</si>
  <si>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</si>
  <si>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</si>
  <si>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</si>
  <si>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</si>
  <si>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</si>
  <si>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</si>
  <si>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</si>
  <si>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</si>
  <si>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</si>
  <si>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</si>
  <si>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</si>
  <si>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</si>
  <si>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</si>
  <si>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</si>
  <si>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</si>
  <si>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</si>
  <si>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</si>
  <si>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</si>
  <si>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</si>
  <si>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</si>
  <si>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</si>
  <si>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</si>
  <si>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</si>
  <si>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</si>
  <si>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</si>
  <si>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</si>
  <si>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</si>
  <si>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</si>
  <si>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</si>
  <si>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</si>
  <si>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</si>
  <si>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</si>
  <si>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</si>
  <si>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</si>
  <si>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</si>
  <si>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</si>
  <si>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</si>
  <si>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</si>
  <si>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</si>
  <si>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</si>
  <si>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</si>
  <si>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</si>
  <si>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</si>
  <si>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</si>
  <si>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</si>
  <si>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</si>
  <si>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</si>
  <si>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</si>
  <si>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</si>
  <si>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</si>
  <si>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</si>
  <si>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</si>
  <si>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</si>
  <si>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</si>
  <si>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</si>
  <si>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</si>
  <si>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</si>
  <si>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</si>
  <si>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</si>
  <si>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</si>
  <si>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</si>
  <si>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</si>
  <si>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</si>
  <si>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</si>
  <si>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</si>
  <si>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</si>
  <si>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</si>
  <si>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</si>
  <si>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</si>
  <si>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</si>
  <si>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</si>
  <si>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</si>
  <si>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</si>
  <si>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</si>
  <si>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</si>
  <si>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</si>
  <si>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</si>
  <si>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</si>
  <si>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</si>
  <si>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</si>
  <si>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</si>
  <si>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</si>
  <si>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</si>
  <si>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</si>
  <si>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</si>
  <si>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</si>
  <si>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</si>
  <si>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</si>
  <si>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</si>
  <si>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</si>
  <si>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</si>
  <si>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</si>
  <si>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</si>
  <si>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</si>
  <si>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</si>
  <si>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</si>
  <si>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</si>
  <si>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</si>
  <si>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</si>
  <si>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</si>
  <si>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</si>
  <si>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</si>
  <si>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</si>
  <si>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</si>
  <si>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</si>
  <si>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</si>
  <si>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</si>
  <si>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</si>
  <si>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</si>
  <si>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</si>
  <si>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</si>
  <si>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</si>
  <si>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</si>
  <si>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</si>
  <si>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</si>
  <si>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</si>
  <si>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</si>
  <si>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</si>
  <si>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</si>
  <si>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</si>
  <si>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</si>
  <si>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</si>
  <si>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</si>
  <si>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</si>
  <si>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</si>
  <si>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</si>
  <si>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</si>
  <si>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</si>
  <si>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</si>
  <si>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</si>
  <si>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</si>
  <si>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</si>
  <si>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</si>
  <si>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</si>
  <si>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</si>
  <si>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</si>
  <si>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</si>
  <si>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</si>
  <si>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</si>
  <si>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</si>
  <si>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</si>
  <si>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</si>
  <si>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</si>
  <si>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</si>
  <si>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</si>
  <si>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</si>
  <si>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</si>
  <si>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</si>
  <si>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</si>
  <si>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</si>
  <si>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</si>
  <si>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</si>
  <si>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</si>
  <si>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</si>
  <si>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</si>
  <si>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</si>
  <si>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</si>
  <si>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</si>
  <si>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</si>
  <si>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</si>
  <si>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</si>
  <si>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</si>
  <si>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</si>
  <si>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</si>
  <si>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</si>
  <si>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</si>
  <si>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</si>
  <si>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</si>
  <si>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</si>
  <si>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</si>
  <si>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</si>
  <si>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</si>
  <si>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</si>
  <si>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</si>
  <si>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</si>
  <si>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</si>
  <si>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</si>
  <si>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</si>
  <si>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</si>
  <si>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</si>
  <si>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</si>
  <si>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</si>
  <si>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</si>
  <si>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</si>
  <si>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</si>
  <si>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</si>
  <si>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</si>
  <si>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</si>
  <si>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</si>
  <si>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</si>
  <si>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</si>
  <si>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</si>
  <si>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</si>
  <si>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</si>
  <si>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</si>
  <si>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</si>
  <si>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</si>
  <si>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</si>
  <si>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</si>
  <si>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</si>
  <si>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</si>
  <si>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</si>
  <si>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</si>
  <si>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</si>
  <si>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</si>
  <si>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</si>
  <si>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</si>
  <si>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</si>
  <si>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</si>
  <si>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</si>
  <si>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</si>
  <si>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</si>
  <si>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</si>
  <si>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</si>
  <si>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</si>
  <si>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</si>
  <si>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</si>
  <si>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</si>
  <si>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</si>
  <si>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</si>
  <si>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</si>
  <si>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</si>
  <si>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</si>
  <si>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</si>
  <si>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</si>
  <si>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</si>
  <si>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</si>
  <si>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</si>
  <si>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</si>
  <si>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</si>
  <si>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</si>
  <si>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</si>
  <si>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</si>
  <si>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</si>
  <si>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</si>
  <si>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</si>
  <si>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</si>
  <si>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</si>
  <si>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</si>
  <si>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</si>
  <si>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</si>
  <si>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</si>
  <si>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</si>
  <si>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</si>
  <si>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</si>
  <si>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</si>
  <si>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</si>
  <si>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</si>
  <si>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</si>
  <si>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</si>
  <si>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</si>
  <si>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</si>
  <si>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</si>
  <si>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</si>
  <si>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</si>
  <si>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</si>
  <si>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</si>
  <si>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</si>
  <si>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</si>
  <si>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</si>
  <si>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</si>
  <si>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</si>
  <si>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</si>
  <si>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</si>
  <si>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</si>
  <si>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</si>
  <si>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</si>
  <si>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</si>
  <si>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</si>
  <si>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</si>
  <si>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</si>
  <si>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</si>
  <si>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</si>
  <si>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</si>
  <si>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</si>
  <si>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</si>
  <si>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</si>
  <si>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</si>
  <si>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</si>
  <si>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</si>
  <si>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</si>
  <si>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</si>
  <si>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</si>
  <si>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</si>
  <si>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</si>
  <si>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</si>
  <si>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</si>
  <si>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</si>
  <si>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</si>
  <si>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</si>
  <si>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</si>
  <si>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</si>
  <si>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</si>
  <si>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</si>
  <si>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</si>
  <si>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</si>
  <si>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</si>
  <si>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</si>
  <si>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</si>
  <si>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</si>
  <si>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</si>
  <si>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</si>
  <si>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</si>
  <si>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</si>
  <si>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</si>
  <si>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</si>
  <si>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</si>
  <si>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</si>
  <si>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</si>
  <si>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</si>
  <si>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</si>
  <si>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</si>
  <si>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</si>
  <si>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</si>
  <si>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</si>
  <si>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</si>
  <si>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</si>
  <si>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</si>
  <si>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</si>
  <si>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</si>
  <si>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</si>
  <si>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</si>
  <si>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</si>
  <si>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</si>
  <si>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</si>
  <si>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</si>
  <si>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</si>
  <si>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</si>
  <si>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</si>
  <si>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</si>
  <si>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</si>
  <si>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</si>
  <si>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</si>
  <si>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</si>
  <si>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</si>
  <si>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</si>
  <si>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</si>
  <si>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</si>
  <si>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</si>
  <si>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</si>
  <si>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</si>
  <si>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</si>
  <si>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</si>
  <si>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</si>
  <si>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</si>
  <si>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</si>
  <si>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</si>
  <si>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</si>
  <si>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</si>
  <si>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</si>
  <si>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</si>
  <si>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</si>
  <si>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</si>
  <si>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</si>
  <si>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</si>
  <si>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</si>
  <si>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</si>
  <si>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</si>
  <si>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</si>
  <si>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</si>
  <si>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</si>
  <si>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</si>
  <si>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</si>
  <si>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</si>
  <si>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</si>
  <si>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</si>
  <si>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</si>
  <si>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</si>
  <si>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</si>
  <si>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</si>
  <si>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</si>
  <si>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</si>
  <si>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</si>
  <si>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</si>
  <si>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</si>
  <si>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</si>
  <si>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</si>
  <si>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</si>
  <si>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</si>
  <si>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</si>
  <si>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</si>
  <si>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</si>
  <si>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</si>
  <si>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</si>
  <si>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</si>
  <si>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</si>
  <si>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</si>
  <si>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</si>
  <si>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</si>
  <si>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</si>
  <si>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</si>
  <si>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</si>
  <si>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</si>
  <si>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</si>
  <si>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</si>
  <si>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</si>
  <si>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</si>
  <si>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</si>
  <si>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</si>
  <si>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</si>
  <si>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</si>
  <si>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</si>
  <si>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</si>
  <si>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</si>
  <si>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</si>
  <si>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</si>
  <si>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</si>
  <si>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</si>
  <si>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</si>
  <si>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</si>
  <si>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</si>
  <si>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</si>
  <si>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</si>
  <si>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</si>
  <si>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</si>
  <si>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</si>
  <si>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</si>
  <si>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</si>
  <si>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</si>
  <si>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</si>
  <si>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</si>
  <si>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</si>
  <si>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</si>
  <si>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</si>
  <si>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</si>
  <si>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</si>
  <si>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</si>
  <si>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</si>
  <si>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</si>
  <si>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</si>
  <si>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</si>
  <si>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</si>
  <si>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</si>
  <si>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</si>
  <si>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</si>
  <si>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</si>
  <si>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</si>
  <si>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</si>
  <si>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</si>
  <si>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</si>
  <si>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</si>
  <si>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</si>
  <si>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</si>
  <si>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</si>
  <si>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</si>
  <si>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</si>
  <si>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</si>
  <si>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</si>
  <si>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</si>
  <si>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</si>
  <si>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</si>
  <si>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</si>
  <si>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</si>
  <si>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</si>
  <si>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</si>
  <si>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</si>
  <si>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</si>
  <si>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</si>
  <si>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</si>
  <si>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</si>
  <si>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</si>
  <si>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</si>
  <si>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</si>
  <si>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</si>
  <si>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</si>
  <si>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</si>
  <si>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</si>
  <si>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</si>
  <si>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</si>
  <si>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</si>
  <si>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</si>
  <si>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</si>
  <si>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</si>
  <si>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</si>
  <si>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</si>
  <si>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</si>
  <si>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</si>
  <si>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</si>
  <si>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</si>
  <si>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</si>
  <si>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</si>
  <si>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</si>
  <si>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</si>
  <si>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</si>
  <si>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</si>
  <si>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</si>
  <si>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</si>
  <si>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</si>
  <si>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</si>
  <si>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</si>
  <si>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</si>
  <si>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</si>
  <si>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</si>
  <si>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</si>
  <si>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</si>
  <si>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</si>
  <si>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</si>
  <si>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</si>
  <si>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</si>
  <si>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</si>
  <si>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</si>
  <si>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</si>
  <si>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</si>
  <si>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</si>
  <si>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</si>
  <si>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</si>
  <si>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</si>
  <si>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</si>
  <si>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</si>
  <si>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</si>
  <si>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</si>
  <si>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</si>
  <si>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</si>
  <si>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</si>
  <si>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</si>
  <si>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</si>
  <si>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</si>
  <si>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</si>
  <si>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</si>
  <si>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</si>
  <si>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</si>
  <si>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</si>
  <si>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</si>
  <si>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</si>
  <si>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</si>
  <si>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</si>
  <si>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</si>
  <si>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</si>
  <si>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</si>
  <si>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</si>
  <si>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</si>
  <si>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</si>
  <si>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</si>
  <si>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</si>
  <si>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</si>
  <si>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</si>
  <si>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</si>
  <si>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</si>
  <si>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</si>
  <si>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</si>
  <si>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</si>
  <si>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</si>
  <si>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</si>
  <si>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</si>
  <si>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</si>
  <si>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</si>
  <si>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</si>
  <si>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</si>
  <si>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</si>
  <si>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</si>
  <si>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</si>
  <si>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</si>
  <si>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</si>
  <si>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</si>
  <si>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</si>
  <si>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</si>
  <si>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</si>
  <si>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</si>
  <si>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</si>
  <si>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</si>
  <si>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</si>
  <si>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</si>
  <si>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</si>
  <si>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</si>
  <si>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</si>
  <si>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</si>
  <si>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</si>
  <si>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</si>
  <si>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</si>
  <si>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</si>
  <si>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</si>
  <si>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</si>
  <si>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</si>
  <si>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</si>
  <si>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</si>
  <si>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</si>
  <si>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</si>
  <si>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</si>
  <si>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</si>
  <si>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</si>
  <si>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</si>
  <si>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</si>
  <si>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</si>
  <si>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</si>
  <si>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</si>
  <si>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</si>
  <si>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</si>
  <si>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</si>
  <si>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</si>
  <si>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</si>
  <si>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</si>
  <si>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</si>
  <si>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</si>
  <si>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</si>
  <si>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</si>
  <si>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</si>
  <si>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</si>
  <si>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</si>
  <si>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</si>
  <si>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</si>
  <si>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</si>
  <si>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</si>
  <si>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</si>
  <si>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</si>
  <si>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</si>
  <si>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</si>
  <si>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</si>
  <si>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</si>
  <si>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</si>
  <si>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</si>
  <si>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</si>
  <si>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</si>
  <si>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</si>
  <si>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</si>
  <si>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</si>
  <si>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</si>
  <si>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</si>
  <si>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</si>
  <si>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</si>
  <si>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</si>
  <si>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</si>
  <si>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</si>
  <si>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</si>
  <si>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</si>
  <si>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</si>
  <si>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</si>
  <si>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</si>
  <si>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</si>
  <si>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</si>
  <si>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</si>
  <si>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</si>
  <si>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</si>
  <si>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</si>
  <si>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</si>
  <si>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</si>
  <si>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</si>
  <si>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</si>
  <si>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</si>
  <si>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</si>
  <si>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</si>
  <si>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</si>
  <si>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</si>
  <si>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</si>
  <si>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</si>
  <si>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</si>
  <si>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</si>
  <si>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</si>
  <si>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</si>
  <si>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</si>
  <si>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</si>
  <si>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</si>
  <si>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</si>
  <si>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</si>
  <si>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</si>
  <si>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</si>
  <si>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</si>
  <si>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</si>
  <si>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</si>
  <si>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</si>
  <si>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</si>
  <si>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</si>
  <si>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</si>
  <si>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</si>
  <si>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</si>
  <si>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</si>
  <si>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</si>
  <si>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</si>
  <si>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</si>
  <si>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</si>
  <si>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</si>
  <si>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</si>
  <si>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</si>
  <si>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</si>
  <si>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</si>
  <si>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</si>
  <si>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</si>
  <si>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</si>
  <si>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</si>
  <si>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</si>
  <si>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</si>
  <si>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</si>
  <si>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</si>
  <si>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</si>
  <si>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</si>
  <si>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</si>
  <si>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</si>
  <si>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</si>
  <si>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</si>
  <si>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</si>
  <si>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</si>
  <si>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</si>
  <si>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</si>
  <si>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</si>
  <si>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</si>
  <si>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</si>
  <si>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</si>
  <si>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</si>
  <si>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</si>
  <si>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</si>
  <si>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</si>
  <si>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</si>
  <si>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</si>
  <si>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</si>
  <si>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</si>
  <si>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</si>
  <si>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</si>
  <si>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</si>
  <si>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</si>
  <si>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</si>
  <si>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</si>
  <si>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</si>
  <si>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</si>
  <si>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</si>
  <si>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</si>
  <si>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</si>
  <si>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</si>
  <si>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</si>
  <si>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</si>
  <si>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</si>
  <si>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</si>
  <si>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</si>
  <si>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</si>
  <si>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</si>
  <si>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</si>
  <si>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</si>
  <si>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</si>
  <si>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</si>
  <si>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</si>
  <si>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</si>
  <si>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</si>
  <si>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</si>
  <si>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</si>
  <si>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</si>
  <si>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</si>
  <si>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</si>
  <si>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</si>
  <si>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</si>
  <si>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</si>
  <si>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</si>
  <si>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</si>
  <si>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</si>
  <si>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</si>
  <si>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</si>
  <si>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</si>
  <si>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</si>
  <si>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</si>
  <si>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</si>
  <si>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</si>
  <si>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</si>
  <si>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</si>
  <si>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</si>
  <si>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</si>
  <si>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</si>
  <si>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</si>
  <si>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</si>
  <si>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</si>
  <si>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</si>
  <si>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</si>
  <si>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</si>
  <si>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</si>
  <si>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</si>
  <si>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</si>
  <si>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</si>
  <si>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</si>
  <si>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</si>
  <si>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</si>
  <si>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</si>
  <si>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</si>
  <si>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</si>
  <si>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</si>
  <si>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</si>
  <si>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</si>
  <si>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</si>
  <si>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</si>
  <si>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</si>
  <si>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</si>
  <si>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</si>
  <si>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</si>
  <si>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</si>
  <si>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</si>
  <si>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</si>
  <si>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</si>
  <si>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</si>
  <si>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</si>
  <si>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</si>
  <si>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</si>
  <si>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</si>
  <si>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</si>
  <si>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</si>
  <si>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</si>
  <si>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</si>
  <si>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</si>
  <si>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</si>
  <si>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</si>
  <si>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</si>
  <si>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</si>
  <si>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</si>
  <si>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</si>
  <si>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</si>
  <si>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</si>
  <si>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</si>
  <si>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</si>
  <si>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</si>
  <si>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</si>
  <si>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</si>
  <si>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</si>
  <si>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</si>
  <si>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</si>
  <si>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</si>
  <si>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</si>
  <si>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</si>
  <si>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</si>
  <si>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</si>
  <si>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</si>
  <si>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</si>
  <si>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</si>
  <si>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</si>
  <si>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</si>
  <si>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</si>
  <si>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</si>
  <si>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</si>
  <si>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</si>
  <si>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</si>
  <si>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</si>
  <si>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</si>
  <si>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</si>
  <si>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</si>
  <si>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</si>
  <si>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</si>
  <si>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</si>
  <si>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</si>
  <si>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</si>
  <si>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</si>
  <si>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</si>
  <si>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</si>
  <si>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</si>
  <si>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</si>
  <si>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</si>
  <si>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</si>
  <si>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</si>
  <si>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</si>
  <si>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</si>
  <si>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</si>
  <si>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</si>
  <si>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</si>
  <si>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</si>
  <si>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</si>
  <si>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</si>
  <si>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</si>
  <si>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</si>
  <si>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</si>
  <si>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</si>
  <si>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</si>
  <si>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</si>
  <si>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</si>
  <si>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</si>
  <si>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</si>
  <si>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</si>
  <si>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</si>
  <si>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</si>
  <si>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</si>
  <si>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</si>
  <si>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</si>
  <si>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</si>
  <si>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</si>
  <si>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</si>
  <si>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</si>
  <si>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</si>
  <si>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</si>
  <si>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</si>
  <si>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</si>
  <si>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</si>
  <si>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</si>
  <si>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</si>
  <si>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</si>
  <si>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</si>
  <si>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</si>
  <si>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</si>
  <si>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</si>
  <si>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</si>
  <si>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</si>
  <si>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</si>
  <si>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</si>
  <si>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</si>
  <si>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</si>
  <si>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</si>
  <si>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</si>
  <si>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</si>
  <si>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</si>
  <si>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</si>
  <si>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</si>
  <si>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</si>
  <si>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</si>
  <si>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</si>
  <si>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</si>
  <si>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</si>
  <si>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</si>
  <si>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</si>
  <si>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</si>
  <si>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</si>
  <si>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</si>
  <si>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</si>
  <si>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</si>
  <si>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</si>
  <si>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</si>
  <si>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</si>
  <si>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</si>
  <si>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</si>
  <si>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</si>
  <si>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</si>
  <si>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</si>
  <si>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</si>
  <si>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</si>
  <si>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</si>
  <si>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</si>
  <si>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</si>
  <si>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</si>
  <si>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</si>
  <si>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</si>
  <si>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</si>
  <si>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</si>
  <si>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</si>
  <si>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</si>
  <si>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</si>
  <si>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</si>
  <si>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</si>
  <si>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</si>
  <si>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</si>
  <si>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</si>
  <si>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</si>
  <si>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</si>
  <si>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</si>
  <si>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</si>
  <si>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</si>
  <si>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</si>
  <si>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</si>
  <si>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</si>
  <si>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</si>
  <si>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</si>
  <si>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</si>
  <si>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</si>
  <si>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</si>
  <si>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</si>
  <si>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</si>
  <si>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</si>
  <si>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</si>
  <si>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</si>
  <si>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</si>
  <si>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</si>
  <si>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</si>
  <si>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</si>
  <si>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</si>
  <si>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</si>
  <si>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</si>
  <si>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</si>
  <si>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</si>
  <si>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</si>
  <si>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</si>
  <si>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</si>
  <si>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</si>
  <si>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</si>
  <si>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</si>
  <si>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</si>
  <si>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</si>
  <si>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</si>
  <si>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</si>
  <si>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</si>
  <si>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</si>
  <si>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</si>
  <si>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</si>
  <si>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</si>
  <si>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</si>
  <si>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</si>
  <si>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</si>
  <si>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</si>
  <si>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</si>
  <si>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</si>
  <si>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</si>
  <si>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</si>
  <si>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</si>
  <si>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</si>
  <si>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</si>
  <si>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</si>
  <si>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</si>
  <si>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</si>
  <si>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</si>
  <si>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</si>
  <si>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</si>
  <si>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</si>
  <si>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</si>
  <si>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</si>
  <si>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</si>
  <si>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</si>
  <si>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</si>
  <si>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</si>
  <si>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</si>
  <si>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</si>
  <si>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</si>
  <si>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</si>
  <si>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</si>
  <si>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</si>
  <si>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</si>
  <si>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</si>
  <si>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</si>
  <si>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</si>
  <si>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</si>
  <si>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</si>
  <si>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</si>
  <si>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</si>
  <si>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</si>
  <si>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</si>
  <si>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</si>
  <si>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</si>
  <si>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</si>
  <si>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</si>
  <si>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</si>
  <si>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</si>
  <si>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</si>
  <si>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</si>
  <si>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</si>
  <si>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</si>
  <si>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</si>
  <si>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</si>
  <si>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</si>
  <si>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</si>
  <si>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</si>
  <si>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</si>
  <si>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</si>
  <si>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</si>
  <si>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</si>
  <si>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</si>
  <si>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</si>
  <si>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</si>
  <si>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</si>
  <si>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</si>
  <si>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</si>
  <si>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</si>
  <si>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</si>
  <si>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</si>
  <si>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</si>
  <si>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</si>
  <si>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</si>
  <si>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</si>
  <si>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</si>
  <si>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</si>
  <si>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</si>
  <si>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</si>
  <si>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</si>
  <si>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</si>
  <si>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</si>
  <si>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</si>
  <si>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</si>
  <si>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</si>
  <si>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</si>
  <si>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</si>
  <si>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</si>
  <si>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</si>
  <si>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</si>
  <si>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</si>
  <si>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</si>
  <si>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</si>
  <si>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</si>
  <si>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</si>
  <si>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</si>
  <si>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</si>
  <si>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</si>
  <si>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</si>
  <si>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</si>
  <si>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</si>
  <si>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</si>
  <si>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</si>
  <si>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</si>
  <si>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</si>
  <si>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</si>
  <si>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</si>
  <si>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</si>
  <si>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</si>
  <si>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</si>
  <si>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</si>
  <si>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</si>
  <si>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</si>
  <si>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</si>
  <si>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</si>
  <si>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</si>
  <si>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</si>
  <si>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</si>
  <si>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</si>
  <si>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</si>
  <si>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</si>
  <si>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</si>
  <si>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</si>
  <si>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</si>
  <si>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</si>
  <si>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</si>
  <si>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</si>
  <si>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</si>
  <si>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</si>
  <si>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</si>
  <si>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</si>
  <si>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</si>
  <si>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</si>
  <si>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</si>
  <si>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</si>
  <si>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</si>
  <si>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</si>
  <si>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</si>
  <si>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</si>
  <si>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</si>
  <si>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</si>
  <si>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</si>
  <si>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</si>
  <si>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</si>
  <si>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</si>
  <si>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</si>
  <si>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</si>
  <si>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</si>
  <si>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</si>
  <si>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</si>
  <si>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</si>
  <si>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</si>
  <si>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</si>
  <si>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</si>
  <si>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</si>
  <si>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</si>
  <si>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</si>
  <si>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</si>
  <si>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</si>
  <si>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</si>
  <si>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</si>
  <si>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</si>
  <si>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</si>
  <si>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</si>
  <si>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</si>
  <si>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</si>
  <si>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</si>
  <si>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</si>
  <si>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</si>
  <si>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</si>
  <si>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</si>
  <si>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</si>
  <si>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</si>
  <si>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</si>
  <si>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</si>
  <si>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</si>
  <si>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</si>
  <si>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</si>
  <si>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</si>
  <si>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</si>
  <si>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</si>
  <si>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</si>
  <si>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</si>
  <si>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</si>
  <si>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</si>
  <si>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</si>
  <si>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</si>
  <si>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</si>
  <si>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</si>
  <si>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</si>
  <si>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</si>
  <si>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</si>
  <si>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</si>
  <si>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</si>
  <si>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</si>
  <si>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</si>
  <si>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</si>
  <si>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</si>
  <si>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</si>
  <si>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</si>
  <si>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</si>
  <si>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</si>
  <si>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</si>
  <si>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</si>
  <si>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</si>
  <si>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</si>
  <si>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</si>
  <si>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</si>
  <si>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</si>
  <si>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</si>
  <si>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</si>
  <si>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</si>
  <si>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</si>
  <si>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</si>
  <si>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</si>
  <si>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</si>
  <si>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</si>
  <si>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</si>
  <si>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</si>
  <si>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</si>
  <si>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</si>
  <si>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</si>
  <si>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</si>
  <si>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</si>
  <si>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</si>
  <si>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</si>
  <si>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</si>
  <si>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</si>
  <si>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</si>
  <si>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</si>
  <si>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</si>
  <si>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</si>
  <si>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</si>
  <si>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</si>
  <si>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</si>
  <si>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</si>
  <si>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</si>
  <si>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</si>
  <si>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</si>
  <si>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</si>
  <si>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</si>
  <si>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</si>
  <si>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</si>
  <si>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</si>
  <si>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</si>
  <si>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</si>
  <si>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</si>
  <si>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</si>
  <si>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</si>
  <si>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</si>
  <si>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</si>
  <si>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</si>
  <si>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</si>
  <si>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</si>
  <si>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</si>
  <si>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</si>
  <si>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</si>
  <si>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</si>
  <si>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</si>
  <si>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</si>
  <si>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</si>
  <si>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</si>
  <si>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</si>
  <si>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</si>
  <si>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</si>
  <si>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</si>
  <si>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</si>
  <si>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</si>
  <si>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</si>
  <si>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</si>
  <si>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</si>
  <si>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</si>
  <si>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</si>
  <si>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</si>
  <si>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</si>
  <si>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</si>
  <si>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</si>
  <si>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</si>
  <si>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</si>
  <si>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</si>
  <si>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</si>
  <si>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</si>
  <si>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</si>
  <si>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</si>
  <si>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</si>
  <si>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</si>
  <si>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</si>
  <si>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</si>
  <si>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</si>
  <si>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</si>
  <si>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</si>
  <si>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</si>
  <si>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</si>
  <si>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</si>
  <si>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</si>
  <si>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</si>
  <si>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</si>
  <si>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</si>
  <si>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</si>
  <si>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</si>
  <si>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</si>
  <si>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</si>
  <si>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</si>
  <si>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</si>
  <si>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</si>
  <si>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</si>
  <si>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</si>
  <si>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</si>
  <si>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</si>
  <si>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</si>
  <si>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</si>
  <si>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</si>
  <si>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</si>
  <si>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</si>
  <si>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</si>
  <si>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</si>
  <si>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</si>
  <si>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</si>
  <si>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</si>
  <si>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</si>
  <si>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</si>
  <si>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</si>
  <si>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</si>
  <si>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</si>
  <si>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</si>
  <si>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</si>
  <si>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</si>
  <si>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</si>
  <si>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</si>
  <si>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</si>
  <si>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</si>
  <si>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</si>
  <si>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</si>
  <si>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</si>
  <si>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</si>
  <si>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</si>
  <si>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</si>
  <si>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</si>
  <si>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</si>
  <si>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</si>
  <si>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</si>
  <si>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</si>
  <si>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</si>
  <si>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</si>
  <si>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</si>
  <si>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</si>
  <si>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</si>
  <si>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</si>
  <si>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</si>
  <si>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</si>
  <si>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</si>
  <si>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</si>
  <si>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</si>
  <si>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</si>
  <si>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</si>
  <si>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</si>
  <si>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</si>
  <si>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</si>
  <si>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</si>
  <si>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</si>
  <si>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</si>
  <si>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</si>
  <si>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</si>
  <si>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</si>
  <si>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</si>
  <si>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</si>
  <si>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</si>
  <si>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</si>
  <si>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</si>
  <si>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</si>
  <si>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</si>
  <si>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</si>
  <si>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</si>
  <si>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</si>
  <si>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</si>
  <si>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</si>
  <si>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</si>
  <si>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</si>
  <si>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Year</t>
  </si>
  <si>
    <t>Month</t>
  </si>
  <si>
    <t>Quarter</t>
  </si>
  <si>
    <t>Time</t>
  </si>
  <si>
    <t>January</t>
  </si>
  <si>
    <t>August</t>
  </si>
  <si>
    <t>February</t>
  </si>
  <si>
    <t>October</t>
  </si>
  <si>
    <t>May</t>
  </si>
  <si>
    <t>June</t>
  </si>
  <si>
    <t>NO COUPON</t>
  </si>
  <si>
    <t>April</t>
  </si>
  <si>
    <t>November</t>
  </si>
  <si>
    <t>December</t>
  </si>
  <si>
    <t>March</t>
  </si>
  <si>
    <t>July</t>
  </si>
  <si>
    <t>September</t>
  </si>
  <si>
    <t>Shipping Address</t>
  </si>
  <si>
    <t>Unit Price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</si>
  <si>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</si>
  <si>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</si>
  <si>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</si>
  <si>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</si>
  <si>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</si>
  <si>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</si>
  <si>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</si>
  <si>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COLUMN</t>
  </si>
  <si>
    <t>COUNT</t>
  </si>
  <si>
    <t>MEAN</t>
  </si>
  <si>
    <t>QUANTITY</t>
  </si>
  <si>
    <t>UNIT PRICE</t>
  </si>
  <si>
    <t>TOTAL PRICE</t>
  </si>
  <si>
    <t>ITEMS IN CART</t>
  </si>
  <si>
    <t>YEAR</t>
  </si>
  <si>
    <t>QUARTER</t>
  </si>
  <si>
    <t>MEDIAN</t>
  </si>
  <si>
    <t>TOTAL ORDER</t>
  </si>
  <si>
    <t>TRENDS BY YEAR</t>
  </si>
  <si>
    <t>REVENUE TREND</t>
  </si>
  <si>
    <t>Average Total Price</t>
  </si>
  <si>
    <t>Median Total Price</t>
  </si>
  <si>
    <t>PRODUCTS</t>
  </si>
  <si>
    <t>REVENUE</t>
  </si>
  <si>
    <t>Tablets</t>
  </si>
  <si>
    <t>Chairs</t>
  </si>
  <si>
    <t>OUTLIERS</t>
  </si>
  <si>
    <t>IQR</t>
  </si>
  <si>
    <t>NO</t>
  </si>
  <si>
    <t>OUTLIER</t>
  </si>
  <si>
    <t>OUTLIERS IN TOTAL PRICE ARE 109, 328, 330, 471, 634, 791, 1067, 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</si>
</sst>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165" fontId="0" fillId="0" borderId="0" xfId="0" applyNumberFormat="1"/>
    <xf numFmtId="44" fontId="0" fillId="0" borderId="0" xfId="1" applyFont="1"/>
    <xf numFmtId="0" fontId="3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3" fillId="2" borderId="3" xfId="0" applyFont="1" applyFill="1" applyBorder="1"/>
    <xf numFmtId="44" fontId="0" fillId="0" borderId="0" xfId="0" applyNumberFormat="1"/>
    <xf numFmtId="0" fontId="3" fillId="4" borderId="4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0" fillId="0" borderId="0" xfId="0" applyFont="1"/>
    <xf numFmtId="44" fontId="3" fillId="2" borderId="2" xfId="1" applyNumberFormat="1" applyFont="1" applyFill="1" applyBorder="1"/>
    <xf numFmtId="0" fontId="0" fillId="3" borderId="3" xfId="0" applyNumberFormat="1" applyFont="1" applyFill="1" applyBorder="1"/>
    <xf numFmtId="22" fontId="0" fillId="3" borderId="2" xfId="0" applyNumberFormat="1" applyFont="1" applyFill="1" applyBorder="1"/>
    <xf numFmtId="0" fontId="0" fillId="3" borderId="2" xfId="0" applyNumberFormat="1" applyFont="1" applyFill="1" applyBorder="1"/>
    <xf numFmtId="44" fontId="0" fillId="3" borderId="2" xfId="1" applyNumberFormat="1" applyFont="1" applyFill="1" applyBorder="1"/>
    <xf numFmtId="0" fontId="0" fillId="0" borderId="3" xfId="0" applyNumberFormat="1" applyFont="1" applyBorder="1"/>
    <xf numFmtId="22" fontId="0" fillId="0" borderId="2" xfId="0" applyNumberFormat="1" applyFont="1" applyBorder="1"/>
    <xf numFmtId="0" fontId="0" fillId="0" borderId="2" xfId="0" applyNumberFormat="1" applyFont="1" applyBorder="1"/>
    <xf numFmtId="44" fontId="0" fillId="0" borderId="2" xfId="1" applyNumberFormat="1" applyFont="1" applyBorder="1"/>
  </cellXfs>
  <cellStyles count="2">
    <cellStyle name="Currency" xfId="1" builtinId="4"/>
    <cellStyle name="Normal" xfId="0" builtinId="0"/>
  </cellStyles>
  <dxfs count="17"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0</xdr:row>
      <xdr:rowOff>180975</xdr:rowOff>
    </xdr:from>
    <xdr:to>
      <xdr:col>11</xdr:col>
      <xdr:colOff>371475</xdr:colOff>
      <xdr:row>21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E1E846-16C8-4DD8-B3A5-683FABECDC43}"/>
            </a:ext>
          </a:extLst>
        </xdr:cNvPr>
        <xdr:cNvSpPr txBox="1"/>
      </xdr:nvSpPr>
      <xdr:spPr>
        <a:xfrm>
          <a:off x="714375" y="180975"/>
          <a:ext cx="6362700" cy="388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The dataset contains 1,200 records after cleaning and preparation. The average quantity purchased per order was approximately 3 units. The average order value was 1,053.97, while the median was 823.62. Transaction activity was highest in 2023. Products</a:t>
          </a:r>
          <a:r>
            <a:rPr lang="en-US" sz="1800" b="1" baseline="0"/>
            <a:t> with the highest revenue are as follows, Chair, Printer, Laptop, Tablet, monitor, desk snd phone is the product with the lowest revenue</a:t>
          </a:r>
          <a:r>
            <a:rPr lang="en-US" sz="1800" b="1"/>
            <a:t>. Outlier analysis identified 8 unusually high values in the Total Price column. No significant outliers were detected in Quantity, Unit Price, or Items In Cart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3BA89D-BECD-4636-BC0C-0A5B42F12A7B}" autoFormatId="16" applyNumberFormats="0" applyBorderFormats="0" applyFontFormats="0" applyPatternFormats="0" applyAlignmentFormats="0" applyWidthHeightFormats="0">
  <queryTableRefresh nextId="22">
    <queryTableFields count="19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Year" tableColumnId="15"/>
      <queryTableField id="16" name="Month" tableColumnId="16"/>
      <queryTableField id="17" name="Quarter" tableColumnId="17"/>
      <queryTableField id="21" dataBound="0" tableColumnId="21"/>
      <queryTableField id="18" name="Tim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D6C301-E694-4B23-846B-57C61D7239F1}" name="Table1_2" displayName="Table1_2" ref="A1:S1201" tableType="queryTable" totalsRowShown="0">
  <autoFilter ref="A1:S1201" xr:uid="{20D6C301-E694-4B23-846B-57C61D7239F1}"/>
  <tableColumns count="19">
    <tableColumn id="1" xr3:uid="{DBBB3A6C-70D3-4B12-B086-6D753988186B}" uniqueName="1" name="OrderID" queryTableFieldId="1" dataDxfId="16"/>
    <tableColumn id="2" xr3:uid="{69BA90C4-236E-425B-B370-6FA75667498D}" uniqueName="2" name="Date" queryTableFieldId="2" dataDxfId="15"/>
    <tableColumn id="3" xr3:uid="{6CA55740-F68D-40F0-B101-E0B9C1AA371A}" uniqueName="3" name="CustomerID" queryTableFieldId="3" dataDxfId="14"/>
    <tableColumn id="4" xr3:uid="{3C1DF9D7-8E94-4A02-BA13-E42029F01A00}" uniqueName="4" name="Product" queryTableFieldId="4" dataDxfId="13"/>
    <tableColumn id="5" xr3:uid="{8ACC70D7-A1A5-4501-971F-258720156D64}" uniqueName="5" name="Quantity" queryTableFieldId="5"/>
    <tableColumn id="6" xr3:uid="{B273603D-0D19-4C85-9CA7-C1141A65813E}" uniqueName="6" name="Unit Price" queryTableFieldId="6"/>
    <tableColumn id="7" xr3:uid="{A53880B4-6135-431F-900E-BE59C99C3506}" uniqueName="7" name="Shipping Address" queryTableFieldId="7" dataDxfId="12"/>
    <tableColumn id="8" xr3:uid="{7A080366-F645-4B2F-BBE6-FE317D796411}" uniqueName="8" name="Payment Method" queryTableFieldId="8" dataDxfId="11"/>
    <tableColumn id="9" xr3:uid="{4BCE3610-C60F-4005-890C-59FFCF824B8F}" uniqueName="9" name="Order Status" queryTableFieldId="9" dataDxfId="10"/>
    <tableColumn id="10" xr3:uid="{5275DB0A-420B-49A1-BDDB-19F8B64DC79A}" uniqueName="10" name="Tracking Number" queryTableFieldId="10" dataDxfId="9"/>
    <tableColumn id="11" xr3:uid="{C719D2FE-1CA3-42A9-BF35-74B0B1215CC9}" uniqueName="11" name="Items In Cart" queryTableFieldId="11"/>
    <tableColumn id="12" xr3:uid="{CE0FFDB6-B7DE-42DD-90E3-D2024DC257E9}" uniqueName="12" name="Coupon Code" queryTableFieldId="12" dataDxfId="8"/>
    <tableColumn id="13" xr3:uid="{81757280-C326-4292-99F1-0C22C9D18B82}" uniqueName="13" name="Referral Source" queryTableFieldId="13" dataDxfId="7"/>
    <tableColumn id="14" xr3:uid="{3059818B-C935-4CB2-8332-A0F5D082432D}" uniqueName="14" name="Total Price" queryTableFieldId="14" dataCellStyle="Currency"/>
    <tableColumn id="15" xr3:uid="{D4459907-8FB1-4923-9B1F-975AD19C4CD1}" uniqueName="15" name="Year" queryTableFieldId="15"/>
    <tableColumn id="16" xr3:uid="{5255B022-C6C8-4755-AA11-4E3AE151540F}" uniqueName="16" name="Month" queryTableFieldId="16" dataDxfId="6"/>
    <tableColumn id="17" xr3:uid="{335DFF7E-2F8E-4DA1-A78B-4D0176C22FF2}" uniqueName="17" name="Quarter" queryTableFieldId="17"/>
    <tableColumn id="21" xr3:uid="{647F0156-BCC4-4B61-9925-9116EE600E28}" uniqueName="21" name="OUTLIERS" queryTableFieldId="21" dataDxfId="0">
      <calculatedColumnFormula>IF(Table1_2[[#This Row],[Total Price]]&gt;3330.41,"OUTLIER","NORMAL")</calculatedColumnFormula>
    </tableColumn>
    <tableColumn id="18" xr3:uid="{CB997B80-271B-44B3-9DA5-4FD3D2117037}" uniqueName="18" name="Time" queryTableFieldId="18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1BACD4-1E19-4F47-9BA2-A9E845BDCCF2}" name="Table3" displayName="Table3" ref="A1:D7" totalsRowShown="0">
  <autoFilter ref="A1:D7" xr:uid="{161BACD4-1E19-4F47-9BA2-A9E845BDCCF2}"/>
  <tableColumns count="4">
    <tableColumn id="1" xr3:uid="{F712AF47-BA1B-4D19-A3A7-9DE06AC6AA71}" name="COLUMN"/>
    <tableColumn id="2" xr3:uid="{F1112421-40D0-4B95-9D52-A369855CCD0A}" name="COUNT"/>
    <tableColumn id="3" xr3:uid="{7A62F8BF-2037-49DD-A093-F782C38B01AF}" name="MEAN"/>
    <tableColumn id="4" xr3:uid="{64C5AB7D-C5C2-4BCE-8D4D-9522D50E7700}" name="MEDIA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E53F56-C02C-4E42-8690-BF540B982E46}" name="Table5" displayName="Table5" ref="A10:B17" totalsRowShown="0">
  <autoFilter ref="A10:B17" xr:uid="{AEE53F56-C02C-4E42-8690-BF540B982E46}"/>
  <sortState xmlns:xlrd2="http://schemas.microsoft.com/office/spreadsheetml/2017/richdata2" ref="A11:B17">
    <sortCondition descending="1" ref="B11:B17"/>
  </sortState>
  <tableColumns count="2">
    <tableColumn id="1" xr3:uid="{8E14538F-4922-4F01-90CA-54A68C4AD52F}" name="PRODUCTS"/>
    <tableColumn id="2" xr3:uid="{97A0962A-3492-47F3-B525-5F7BCCF5C4D0}" name="REVEN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ACB4AD-CE36-4E65-8D0A-F11421764B9B}" name="Table6" displayName="Table6" ref="B6:C10" totalsRowShown="0">
  <autoFilter ref="B6:C10" xr:uid="{8FACB4AD-CE36-4E65-8D0A-F11421764B9B}"/>
  <tableColumns count="2">
    <tableColumn id="1" xr3:uid="{43F7B843-01FF-4F88-BCA7-B5A67457C256}" name="COLUMN"/>
    <tableColumn id="2" xr3:uid="{BA73D6C9-0657-4AB7-830F-6731F363BD72}" name="OUTLIER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B62A1-3DB6-4A62-B85A-444083414A59}" name="Table1" displayName="Table1" ref="A1:N1201" totalsRowShown="0" headerRowDxfId="4" headerRowBorderDxfId="3" tableBorderDxfId="2">
  <autoFilter ref="A1:N1201" xr:uid="{755B62A1-3DB6-4A62-B85A-444083414A59}"/>
  <tableColumns count="14">
    <tableColumn id="1" xr3:uid="{88BE21CD-195D-4585-A235-61227622F81E}" name="OrderID"/>
    <tableColumn id="2" xr3:uid="{E1D18D11-2B83-4252-A91F-9D928911D45E}" name="Date" dataDxfId="1"/>
    <tableColumn id="3" xr3:uid="{BC82888E-9755-490E-A6CE-4DC8859594A8}" name="CustomerID"/>
    <tableColumn id="4" xr3:uid="{846CCF4F-87BB-4845-9E83-017DF77B5015}" name="Product"/>
    <tableColumn id="5" xr3:uid="{E51B9CEB-B50C-4D96-80DC-54346200836D}" name="Quantity"/>
    <tableColumn id="6" xr3:uid="{5D72BBC3-47F2-4C28-8868-0319CFAFD75A}" name="UnitPrice"/>
    <tableColumn id="7" xr3:uid="{6B52D50E-581D-4AAA-BEEB-EE306B0BB7C5}" name="ShippingAddress"/>
    <tableColumn id="8" xr3:uid="{7D825C8B-C163-40AD-A069-64C5F8F59514}" name="PaymentMethod"/>
    <tableColumn id="9" xr3:uid="{61254521-8FD6-4DE2-923A-2BD6584C3A5E}" name="OrderStatus"/>
    <tableColumn id="10" xr3:uid="{80B9B9DF-ED12-4763-A004-8099FD91635C}" name="TrackingNumber"/>
    <tableColumn id="11" xr3:uid="{53FCEF81-FE0E-4309-9EB0-29FE52E9EDE0}" name="ItemsInCart"/>
    <tableColumn id="12" xr3:uid="{F183F596-3835-4CBE-8C79-BFBCFB2A7A25}" name="CouponCode"/>
    <tableColumn id="13" xr3:uid="{6500D253-F5BB-46FA-92D0-0E4C7BEE111F}" name="ReferralSource"/>
    <tableColumn id="14" xr3:uid="{1F6C962B-F094-4B12-BB03-6B0C2CBD3914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AB9C-01FF-4827-9AB4-669ADB562F0E}">
  <dimension ref="A1:S1201"/>
  <sheetViews>
    <sheetView topLeftCell="G1" workbookViewId="0">
      <selection activeCell="T6" sqref="T6"/>
    </sheetView>
  </sheetViews>
  <sheetFormatPr defaultRowHeight="15" x14ac:dyDescent="0.25"/>
  <cols>
    <col min="1" max="1" width="10.85546875" bestFit="1" customWidth="1"/>
    <col min="2" max="2" width="14.855468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style="6" bestFit="1" customWidth="1"/>
    <col min="15" max="15" width="7.28515625" bestFit="1" customWidth="1"/>
    <col min="16" max="16" width="10.85546875" bestFit="1" customWidth="1"/>
    <col min="17" max="17" width="10.140625" bestFit="1" customWidth="1"/>
    <col min="18" max="18" width="11.7109375" bestFit="1" customWidth="1"/>
    <col min="19" max="19" width="11.5703125" bestFit="1" customWidth="1"/>
    <col min="23" max="23" width="13.85546875" bestFit="1" customWidth="1"/>
    <col min="24" max="24" width="8.42578125" bestFit="1" customWidth="1"/>
    <col min="25" max="25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4301</v>
      </c>
      <c r="G1" t="s">
        <v>4300</v>
      </c>
      <c r="H1" t="s">
        <v>4302</v>
      </c>
      <c r="I1" t="s">
        <v>4303</v>
      </c>
      <c r="J1" t="s">
        <v>4304</v>
      </c>
      <c r="K1" t="s">
        <v>4305</v>
      </c>
      <c r="L1" t="s">
        <v>4306</v>
      </c>
      <c r="M1" t="s">
        <v>4307</v>
      </c>
      <c r="N1" s="6" t="s">
        <v>4308</v>
      </c>
      <c r="O1" t="s">
        <v>4283</v>
      </c>
      <c r="P1" t="s">
        <v>4284</v>
      </c>
      <c r="Q1" t="s">
        <v>4285</v>
      </c>
      <c r="R1" t="s">
        <v>4328</v>
      </c>
      <c r="S1" t="s">
        <v>4286</v>
      </c>
    </row>
    <row r="2" spans="1:19" x14ac:dyDescent="0.2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 s="6">
        <v>2853.1</v>
      </c>
      <c r="O2">
        <v>2023</v>
      </c>
      <c r="P2" s="3" t="s">
        <v>4287</v>
      </c>
      <c r="Q2">
        <v>1</v>
      </c>
      <c r="R2" t="str">
        <f>IF(Table1_2[[#This Row],[Total Price]]&gt;3330.41,"OUTLIER","NORMAL")</f>
        <v>NORMAL</v>
      </c>
      <c r="S2" s="5">
        <v>0</v>
      </c>
    </row>
    <row r="3" spans="1:19" x14ac:dyDescent="0.2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 s="6">
        <v>302.7</v>
      </c>
      <c r="O3">
        <v>2024</v>
      </c>
      <c r="P3" s="3" t="s">
        <v>4288</v>
      </c>
      <c r="Q3">
        <v>3</v>
      </c>
      <c r="R3" t="str">
        <f>IF(Table1_2[[#This Row],[Total Price]]&gt;3330.41,"OUTLIER","NORMAL")</f>
        <v>NORMAL</v>
      </c>
      <c r="S3" s="5">
        <v>0</v>
      </c>
    </row>
    <row r="4" spans="1:19" x14ac:dyDescent="0.2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 s="6">
        <v>2753.4</v>
      </c>
      <c r="O4">
        <v>2024</v>
      </c>
      <c r="P4" s="3" t="s">
        <v>4289</v>
      </c>
      <c r="Q4">
        <v>1</v>
      </c>
      <c r="R4" t="str">
        <f>IF(Table1_2[[#This Row],[Total Price]]&gt;3330.41,"OUTLIER","NORMAL")</f>
        <v>NORMAL</v>
      </c>
      <c r="S4" s="5">
        <v>0</v>
      </c>
    </row>
    <row r="5" spans="1:19" x14ac:dyDescent="0.2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 s="6">
        <v>273.19</v>
      </c>
      <c r="O5">
        <v>2023</v>
      </c>
      <c r="P5" s="3" t="s">
        <v>4290</v>
      </c>
      <c r="Q5">
        <v>4</v>
      </c>
      <c r="R5" t="str">
        <f>IF(Table1_2[[#This Row],[Total Price]]&gt;3330.41,"OUTLIER","NORMAL")</f>
        <v>NORMAL</v>
      </c>
      <c r="S5" s="5">
        <v>0</v>
      </c>
    </row>
    <row r="6" spans="1:19" x14ac:dyDescent="0.2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 s="6">
        <v>2504.04</v>
      </c>
      <c r="O6">
        <v>2025</v>
      </c>
      <c r="P6" s="3" t="s">
        <v>4291</v>
      </c>
      <c r="Q6">
        <v>2</v>
      </c>
      <c r="R6" t="str">
        <f>IF(Table1_2[[#This Row],[Total Price]]&gt;3330.41,"OUTLIER","NORMAL")</f>
        <v>NORMAL</v>
      </c>
      <c r="S6" s="5">
        <v>0</v>
      </c>
    </row>
    <row r="7" spans="1:19" x14ac:dyDescent="0.2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 s="6">
        <v>491.72</v>
      </c>
      <c r="O7">
        <v>2023</v>
      </c>
      <c r="P7" s="3" t="s">
        <v>4290</v>
      </c>
      <c r="Q7">
        <v>4</v>
      </c>
      <c r="R7" t="str">
        <f>IF(Table1_2[[#This Row],[Total Price]]&gt;3330.41,"OUTLIER","NORMAL")</f>
        <v>NORMAL</v>
      </c>
      <c r="S7" s="5">
        <v>0</v>
      </c>
    </row>
    <row r="8" spans="1:19" x14ac:dyDescent="0.2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 s="6">
        <v>664.42</v>
      </c>
      <c r="O8">
        <v>2025</v>
      </c>
      <c r="P8" s="3" t="s">
        <v>4292</v>
      </c>
      <c r="Q8">
        <v>2</v>
      </c>
      <c r="R8" t="str">
        <f>IF(Table1_2[[#This Row],[Total Price]]&gt;3330.41,"OUTLIER","NORMAL")</f>
        <v>NORMAL</v>
      </c>
      <c r="S8" s="5">
        <v>0</v>
      </c>
    </row>
    <row r="9" spans="1:19" x14ac:dyDescent="0.2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 s="6">
        <v>747.75</v>
      </c>
      <c r="O9">
        <v>2023</v>
      </c>
      <c r="P9" s="3" t="s">
        <v>4291</v>
      </c>
      <c r="Q9">
        <v>2</v>
      </c>
      <c r="R9" t="str">
        <f>IF(Table1_2[[#This Row],[Total Price]]&gt;3330.41,"OUTLIER","NORMAL")</f>
        <v>NORMAL</v>
      </c>
      <c r="S9" s="5">
        <v>0</v>
      </c>
    </row>
    <row r="10" spans="1:19" x14ac:dyDescent="0.2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4293</v>
      </c>
      <c r="M10" s="3" t="s">
        <v>4280</v>
      </c>
      <c r="N10" s="6">
        <v>268.56</v>
      </c>
      <c r="O10">
        <v>2025</v>
      </c>
      <c r="P10" s="3" t="s">
        <v>4294</v>
      </c>
      <c r="Q10">
        <v>2</v>
      </c>
      <c r="R10" t="str">
        <f>IF(Table1_2[[#This Row],[Total Price]]&gt;3330.41,"OUTLIER","NORMAL")</f>
        <v>NORMAL</v>
      </c>
      <c r="S10" s="5">
        <v>0</v>
      </c>
    </row>
    <row r="11" spans="1:19" x14ac:dyDescent="0.2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 s="6">
        <v>2037.52</v>
      </c>
      <c r="O11">
        <v>2023</v>
      </c>
      <c r="P11" s="3" t="s">
        <v>4295</v>
      </c>
      <c r="Q11">
        <v>4</v>
      </c>
      <c r="R11" t="str">
        <f>IF(Table1_2[[#This Row],[Total Price]]&gt;3330.41,"OUTLIER","NORMAL")</f>
        <v>NORMAL</v>
      </c>
      <c r="S11" s="5">
        <v>0</v>
      </c>
    </row>
    <row r="12" spans="1:19" x14ac:dyDescent="0.2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 s="6">
        <v>3129.85</v>
      </c>
      <c r="O12">
        <v>2023</v>
      </c>
      <c r="P12" s="3" t="s">
        <v>4296</v>
      </c>
      <c r="Q12">
        <v>4</v>
      </c>
      <c r="R12" t="str">
        <f>IF(Table1_2[[#This Row],[Total Price]]&gt;3330.41,"OUTLIER","NORMAL")</f>
        <v>NORMAL</v>
      </c>
      <c r="S12" s="5">
        <v>0</v>
      </c>
    </row>
    <row r="13" spans="1:19" x14ac:dyDescent="0.2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 s="6">
        <v>147.41999999999999</v>
      </c>
      <c r="O13">
        <v>2024</v>
      </c>
      <c r="P13" s="3" t="s">
        <v>4289</v>
      </c>
      <c r="Q13">
        <v>1</v>
      </c>
      <c r="R13" t="str">
        <f>IF(Table1_2[[#This Row],[Total Price]]&gt;3330.41,"OUTLIER","NORMAL")</f>
        <v>NORMAL</v>
      </c>
      <c r="S13" s="5">
        <v>0</v>
      </c>
    </row>
    <row r="14" spans="1:19" x14ac:dyDescent="0.2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 s="6">
        <v>361</v>
      </c>
      <c r="O14">
        <v>2024</v>
      </c>
      <c r="P14" s="3" t="s">
        <v>4290</v>
      </c>
      <c r="Q14">
        <v>4</v>
      </c>
      <c r="R14" t="str">
        <f>IF(Table1_2[[#This Row],[Total Price]]&gt;3330.41,"OUTLIER","NORMAL")</f>
        <v>NORMAL</v>
      </c>
      <c r="S14" s="5">
        <v>0</v>
      </c>
    </row>
    <row r="15" spans="1:19" x14ac:dyDescent="0.2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 s="6">
        <v>604.47</v>
      </c>
      <c r="O15">
        <v>2023</v>
      </c>
      <c r="P15" s="3" t="s">
        <v>4288</v>
      </c>
      <c r="Q15">
        <v>3</v>
      </c>
      <c r="R15" t="str">
        <f>IF(Table1_2[[#This Row],[Total Price]]&gt;3330.41,"OUTLIER","NORMAL")</f>
        <v>NORMAL</v>
      </c>
      <c r="S15" s="5">
        <v>0</v>
      </c>
    </row>
    <row r="16" spans="1:19" x14ac:dyDescent="0.2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 s="6">
        <v>786.66</v>
      </c>
      <c r="O16">
        <v>2023</v>
      </c>
      <c r="P16" s="3" t="s">
        <v>4297</v>
      </c>
      <c r="Q16">
        <v>1</v>
      </c>
      <c r="R16" t="str">
        <f>IF(Table1_2[[#This Row],[Total Price]]&gt;3330.41,"OUTLIER","NORMAL")</f>
        <v>NORMAL</v>
      </c>
      <c r="S16" s="5">
        <v>0</v>
      </c>
    </row>
    <row r="17" spans="1:19" x14ac:dyDescent="0.2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4293</v>
      </c>
      <c r="M17" s="3" t="s">
        <v>4282</v>
      </c>
      <c r="N17" s="6">
        <v>473.96</v>
      </c>
      <c r="O17">
        <v>2023</v>
      </c>
      <c r="P17" s="3" t="s">
        <v>4298</v>
      </c>
      <c r="Q17">
        <v>3</v>
      </c>
      <c r="R17" t="str">
        <f>IF(Table1_2[[#This Row],[Total Price]]&gt;3330.41,"OUTLIER","NORMAL")</f>
        <v>NORMAL</v>
      </c>
      <c r="S17" s="5">
        <v>0</v>
      </c>
    </row>
    <row r="18" spans="1:19" x14ac:dyDescent="0.2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 s="6">
        <v>1067.6199999999999</v>
      </c>
      <c r="O18">
        <v>2023</v>
      </c>
      <c r="P18" s="3" t="s">
        <v>4287</v>
      </c>
      <c r="Q18">
        <v>1</v>
      </c>
      <c r="R18" t="str">
        <f>IF(Table1_2[[#This Row],[Total Price]]&gt;3330.41,"OUTLIER","NORMAL")</f>
        <v>NORMAL</v>
      </c>
      <c r="S18" s="5">
        <v>0</v>
      </c>
    </row>
    <row r="19" spans="1:19" x14ac:dyDescent="0.2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4293</v>
      </c>
      <c r="M19" s="3" t="s">
        <v>4279</v>
      </c>
      <c r="N19" s="6">
        <v>423.4</v>
      </c>
      <c r="O19">
        <v>2024</v>
      </c>
      <c r="P19" s="3" t="s">
        <v>4297</v>
      </c>
      <c r="Q19">
        <v>1</v>
      </c>
      <c r="R19" t="str">
        <f>IF(Table1_2[[#This Row],[Total Price]]&gt;3330.41,"OUTLIER","NORMAL")</f>
        <v>NORMAL</v>
      </c>
      <c r="S19" s="5">
        <v>0</v>
      </c>
    </row>
    <row r="20" spans="1:19" x14ac:dyDescent="0.2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 s="6">
        <v>431.44</v>
      </c>
      <c r="O20">
        <v>2025</v>
      </c>
      <c r="P20" s="3" t="s">
        <v>4297</v>
      </c>
      <c r="Q20">
        <v>1</v>
      </c>
      <c r="R20" t="str">
        <f>IF(Table1_2[[#This Row],[Total Price]]&gt;3330.41,"OUTLIER","NORMAL")</f>
        <v>NORMAL</v>
      </c>
      <c r="S20" s="5">
        <v>0</v>
      </c>
    </row>
    <row r="21" spans="1:19" x14ac:dyDescent="0.2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 s="6">
        <v>1120</v>
      </c>
      <c r="O21">
        <v>2023</v>
      </c>
      <c r="P21" s="3" t="s">
        <v>4287</v>
      </c>
      <c r="Q21">
        <v>1</v>
      </c>
      <c r="R21" t="str">
        <f>IF(Table1_2[[#This Row],[Total Price]]&gt;3330.41,"OUTLIER","NORMAL")</f>
        <v>NORMAL</v>
      </c>
      <c r="S21" s="5">
        <v>0</v>
      </c>
    </row>
    <row r="22" spans="1:19" x14ac:dyDescent="0.2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 s="6">
        <v>312.55</v>
      </c>
      <c r="O22">
        <v>2023</v>
      </c>
      <c r="P22" s="3" t="s">
        <v>4291</v>
      </c>
      <c r="Q22">
        <v>2</v>
      </c>
      <c r="R22" t="str">
        <f>IF(Table1_2[[#This Row],[Total Price]]&gt;3330.41,"OUTLIER","NORMAL")</f>
        <v>NORMAL</v>
      </c>
      <c r="S22" s="5">
        <v>0</v>
      </c>
    </row>
    <row r="23" spans="1:19" x14ac:dyDescent="0.2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4293</v>
      </c>
      <c r="M23" s="3" t="s">
        <v>4282</v>
      </c>
      <c r="N23" s="6">
        <v>1371.8</v>
      </c>
      <c r="O23">
        <v>2024</v>
      </c>
      <c r="P23" s="3" t="s">
        <v>4295</v>
      </c>
      <c r="Q23">
        <v>4</v>
      </c>
      <c r="R23" t="str">
        <f>IF(Table1_2[[#This Row],[Total Price]]&gt;3330.41,"OUTLIER","NORMAL")</f>
        <v>NORMAL</v>
      </c>
      <c r="S23" s="5">
        <v>0</v>
      </c>
    </row>
    <row r="24" spans="1:19" x14ac:dyDescent="0.2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 s="6">
        <v>99.24</v>
      </c>
      <c r="O24">
        <v>2023</v>
      </c>
      <c r="P24" s="3" t="s">
        <v>4287</v>
      </c>
      <c r="Q24">
        <v>1</v>
      </c>
      <c r="R24" t="str">
        <f>IF(Table1_2[[#This Row],[Total Price]]&gt;3330.41,"OUTLIER","NORMAL")</f>
        <v>NORMAL</v>
      </c>
      <c r="S24" s="5">
        <v>0</v>
      </c>
    </row>
    <row r="25" spans="1:19" x14ac:dyDescent="0.2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 s="6">
        <v>1093</v>
      </c>
      <c r="O25">
        <v>2025</v>
      </c>
      <c r="P25" s="3" t="s">
        <v>4294</v>
      </c>
      <c r="Q25">
        <v>2</v>
      </c>
      <c r="R25" t="str">
        <f>IF(Table1_2[[#This Row],[Total Price]]&gt;3330.41,"OUTLIER","NORMAL")</f>
        <v>NORMAL</v>
      </c>
      <c r="S25" s="5">
        <v>0</v>
      </c>
    </row>
    <row r="26" spans="1:19" x14ac:dyDescent="0.2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 s="6">
        <v>461.9</v>
      </c>
      <c r="O26">
        <v>2024</v>
      </c>
      <c r="P26" s="3" t="s">
        <v>4290</v>
      </c>
      <c r="Q26">
        <v>4</v>
      </c>
      <c r="R26" t="str">
        <f>IF(Table1_2[[#This Row],[Total Price]]&gt;3330.41,"OUTLIER","NORMAL")</f>
        <v>NORMAL</v>
      </c>
      <c r="S26" s="5">
        <v>0</v>
      </c>
    </row>
    <row r="27" spans="1:19" x14ac:dyDescent="0.2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 s="6">
        <v>399.98</v>
      </c>
      <c r="O27">
        <v>2024</v>
      </c>
      <c r="P27" s="3" t="s">
        <v>4298</v>
      </c>
      <c r="Q27">
        <v>3</v>
      </c>
      <c r="R27" t="str">
        <f>IF(Table1_2[[#This Row],[Total Price]]&gt;3330.41,"OUTLIER","NORMAL")</f>
        <v>NORMAL</v>
      </c>
      <c r="S27" s="5">
        <v>0</v>
      </c>
    </row>
    <row r="28" spans="1:19" x14ac:dyDescent="0.2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4293</v>
      </c>
      <c r="M28" s="3" t="s">
        <v>4279</v>
      </c>
      <c r="N28" s="6">
        <v>297.75</v>
      </c>
      <c r="O28">
        <v>2024</v>
      </c>
      <c r="P28" s="3" t="s">
        <v>4297</v>
      </c>
      <c r="Q28">
        <v>1</v>
      </c>
      <c r="R28" t="str">
        <f>IF(Table1_2[[#This Row],[Total Price]]&gt;3330.41,"OUTLIER","NORMAL")</f>
        <v>NORMAL</v>
      </c>
      <c r="S28" s="5">
        <v>0</v>
      </c>
    </row>
    <row r="29" spans="1:19" x14ac:dyDescent="0.2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 s="6">
        <v>472.74</v>
      </c>
      <c r="O29">
        <v>2024</v>
      </c>
      <c r="P29" s="3" t="s">
        <v>4289</v>
      </c>
      <c r="Q29">
        <v>1</v>
      </c>
      <c r="R29" t="str">
        <f>IF(Table1_2[[#This Row],[Total Price]]&gt;3330.41,"OUTLIER","NORMAL")</f>
        <v>NORMAL</v>
      </c>
      <c r="S29" s="5">
        <v>0</v>
      </c>
    </row>
    <row r="30" spans="1:19" x14ac:dyDescent="0.2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4293</v>
      </c>
      <c r="M30" s="3" t="s">
        <v>4280</v>
      </c>
      <c r="N30" s="6">
        <v>640.28</v>
      </c>
      <c r="O30">
        <v>2023</v>
      </c>
      <c r="P30" s="3" t="s">
        <v>4295</v>
      </c>
      <c r="Q30">
        <v>4</v>
      </c>
      <c r="R30" t="str">
        <f>IF(Table1_2[[#This Row],[Total Price]]&gt;3330.41,"OUTLIER","NORMAL")</f>
        <v>NORMAL</v>
      </c>
      <c r="S30" s="5">
        <v>0</v>
      </c>
    </row>
    <row r="31" spans="1:19" x14ac:dyDescent="0.2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 s="6">
        <v>1270.5899999999999</v>
      </c>
      <c r="O31">
        <v>2024</v>
      </c>
      <c r="P31" s="3" t="s">
        <v>4299</v>
      </c>
      <c r="Q31">
        <v>3</v>
      </c>
      <c r="R31" t="str">
        <f>IF(Table1_2[[#This Row],[Total Price]]&gt;3330.41,"OUTLIER","NORMAL")</f>
        <v>NORMAL</v>
      </c>
      <c r="S31" s="5">
        <v>0</v>
      </c>
    </row>
    <row r="32" spans="1:19" x14ac:dyDescent="0.2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 s="6">
        <v>853.4</v>
      </c>
      <c r="O32">
        <v>2025</v>
      </c>
      <c r="P32" s="3" t="s">
        <v>4297</v>
      </c>
      <c r="Q32">
        <v>1</v>
      </c>
      <c r="R32" t="str">
        <f>IF(Table1_2[[#This Row],[Total Price]]&gt;3330.41,"OUTLIER","NORMAL")</f>
        <v>NORMAL</v>
      </c>
      <c r="S32" s="5">
        <v>0</v>
      </c>
    </row>
    <row r="33" spans="1:19" x14ac:dyDescent="0.2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4293</v>
      </c>
      <c r="M33" s="3" t="s">
        <v>4281</v>
      </c>
      <c r="N33" s="6">
        <v>1500.24</v>
      </c>
      <c r="O33">
        <v>2023</v>
      </c>
      <c r="P33" s="3" t="s">
        <v>4292</v>
      </c>
      <c r="Q33">
        <v>2</v>
      </c>
      <c r="R33" t="str">
        <f>IF(Table1_2[[#This Row],[Total Price]]&gt;3330.41,"OUTLIER","NORMAL")</f>
        <v>NORMAL</v>
      </c>
      <c r="S33" s="5">
        <v>0</v>
      </c>
    </row>
    <row r="34" spans="1:19" x14ac:dyDescent="0.2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4293</v>
      </c>
      <c r="M34" s="3" t="s">
        <v>4280</v>
      </c>
      <c r="N34" s="6">
        <v>2683.6</v>
      </c>
      <c r="O34">
        <v>2023</v>
      </c>
      <c r="P34" s="3" t="s">
        <v>4291</v>
      </c>
      <c r="Q34">
        <v>2</v>
      </c>
      <c r="R34" t="str">
        <f>IF(Table1_2[[#This Row],[Total Price]]&gt;3330.41,"OUTLIER","NORMAL")</f>
        <v>NORMAL</v>
      </c>
      <c r="S34" s="5">
        <v>0</v>
      </c>
    </row>
    <row r="35" spans="1:19" x14ac:dyDescent="0.2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 s="6">
        <v>162.77000000000001</v>
      </c>
      <c r="O35">
        <v>2023</v>
      </c>
      <c r="P35" s="3" t="s">
        <v>4292</v>
      </c>
      <c r="Q35">
        <v>2</v>
      </c>
      <c r="R35" t="str">
        <f>IF(Table1_2[[#This Row],[Total Price]]&gt;3330.41,"OUTLIER","NORMAL")</f>
        <v>NORMAL</v>
      </c>
      <c r="S35" s="5">
        <v>0</v>
      </c>
    </row>
    <row r="36" spans="1:19" x14ac:dyDescent="0.2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 s="6">
        <v>2306.08</v>
      </c>
      <c r="O36">
        <v>2023</v>
      </c>
      <c r="P36" s="3" t="s">
        <v>4287</v>
      </c>
      <c r="Q36">
        <v>1</v>
      </c>
      <c r="R36" t="str">
        <f>IF(Table1_2[[#This Row],[Total Price]]&gt;3330.41,"OUTLIER","NORMAL")</f>
        <v>NORMAL</v>
      </c>
      <c r="S36" s="5">
        <v>0</v>
      </c>
    </row>
    <row r="37" spans="1:19" x14ac:dyDescent="0.2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 s="6">
        <v>930.3</v>
      </c>
      <c r="O37">
        <v>2024</v>
      </c>
      <c r="P37" s="3" t="s">
        <v>4296</v>
      </c>
      <c r="Q37">
        <v>4</v>
      </c>
      <c r="R37" t="str">
        <f>IF(Table1_2[[#This Row],[Total Price]]&gt;3330.41,"OUTLIER","NORMAL")</f>
        <v>NORMAL</v>
      </c>
      <c r="S37" s="5">
        <v>0</v>
      </c>
    </row>
    <row r="38" spans="1:19" x14ac:dyDescent="0.2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4293</v>
      </c>
      <c r="M38" s="3" t="s">
        <v>4281</v>
      </c>
      <c r="N38" s="6">
        <v>1068.8599999999999</v>
      </c>
      <c r="O38">
        <v>2025</v>
      </c>
      <c r="P38" s="3" t="s">
        <v>4291</v>
      </c>
      <c r="Q38">
        <v>2</v>
      </c>
      <c r="R38" t="str">
        <f>IF(Table1_2[[#This Row],[Total Price]]&gt;3330.41,"OUTLIER","NORMAL")</f>
        <v>NORMAL</v>
      </c>
      <c r="S38" s="5">
        <v>0</v>
      </c>
    </row>
    <row r="39" spans="1:19" x14ac:dyDescent="0.2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 s="6">
        <v>153.47999999999999</v>
      </c>
      <c r="O39">
        <v>2024</v>
      </c>
      <c r="P39" s="3" t="s">
        <v>4290</v>
      </c>
      <c r="Q39">
        <v>4</v>
      </c>
      <c r="R39" t="str">
        <f>IF(Table1_2[[#This Row],[Total Price]]&gt;3330.41,"OUTLIER","NORMAL")</f>
        <v>NORMAL</v>
      </c>
      <c r="S39" s="5">
        <v>0</v>
      </c>
    </row>
    <row r="40" spans="1:19" x14ac:dyDescent="0.2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 s="6">
        <v>245.89</v>
      </c>
      <c r="O40">
        <v>2024</v>
      </c>
      <c r="P40" s="3" t="s">
        <v>4296</v>
      </c>
      <c r="Q40">
        <v>4</v>
      </c>
      <c r="R40" t="str">
        <f>IF(Table1_2[[#This Row],[Total Price]]&gt;3330.41,"OUTLIER","NORMAL")</f>
        <v>NORMAL</v>
      </c>
      <c r="S40" s="5">
        <v>0</v>
      </c>
    </row>
    <row r="41" spans="1:19" x14ac:dyDescent="0.2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 s="6">
        <v>769.37999999999988</v>
      </c>
      <c r="O41">
        <v>2025</v>
      </c>
      <c r="P41" s="3" t="s">
        <v>4289</v>
      </c>
      <c r="Q41">
        <v>1</v>
      </c>
      <c r="R41" t="str">
        <f>IF(Table1_2[[#This Row],[Total Price]]&gt;3330.41,"OUTLIER","NORMAL")</f>
        <v>NORMAL</v>
      </c>
      <c r="S41" s="5">
        <v>0</v>
      </c>
    </row>
    <row r="42" spans="1:19" x14ac:dyDescent="0.2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 s="6">
        <v>688.04</v>
      </c>
      <c r="O42">
        <v>2023</v>
      </c>
      <c r="P42" s="3" t="s">
        <v>4288</v>
      </c>
      <c r="Q42">
        <v>3</v>
      </c>
      <c r="R42" t="str">
        <f>IF(Table1_2[[#This Row],[Total Price]]&gt;3330.41,"OUTLIER","NORMAL")</f>
        <v>NORMAL</v>
      </c>
      <c r="S42" s="5">
        <v>0</v>
      </c>
    </row>
    <row r="43" spans="1:19" x14ac:dyDescent="0.2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 s="6">
        <v>1834.35</v>
      </c>
      <c r="O43">
        <v>2023</v>
      </c>
      <c r="P43" s="3" t="s">
        <v>4296</v>
      </c>
      <c r="Q43">
        <v>4</v>
      </c>
      <c r="R43" t="str">
        <f>IF(Table1_2[[#This Row],[Total Price]]&gt;3330.41,"OUTLIER","NORMAL")</f>
        <v>NORMAL</v>
      </c>
      <c r="S43" s="5">
        <v>0</v>
      </c>
    </row>
    <row r="44" spans="1:19" x14ac:dyDescent="0.2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4293</v>
      </c>
      <c r="M44" s="3" t="s">
        <v>4278</v>
      </c>
      <c r="N44" s="6">
        <v>303.32</v>
      </c>
      <c r="O44">
        <v>2024</v>
      </c>
      <c r="P44" s="3" t="s">
        <v>4291</v>
      </c>
      <c r="Q44">
        <v>2</v>
      </c>
      <c r="R44" t="str">
        <f>IF(Table1_2[[#This Row],[Total Price]]&gt;3330.41,"OUTLIER","NORMAL")</f>
        <v>NORMAL</v>
      </c>
      <c r="S44" s="5">
        <v>0</v>
      </c>
    </row>
    <row r="45" spans="1:19" x14ac:dyDescent="0.2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4293</v>
      </c>
      <c r="M45" s="3" t="s">
        <v>4278</v>
      </c>
      <c r="N45" s="6">
        <v>1497.63</v>
      </c>
      <c r="O45">
        <v>2023</v>
      </c>
      <c r="P45" s="3" t="s">
        <v>4296</v>
      </c>
      <c r="Q45">
        <v>4</v>
      </c>
      <c r="R45" t="str">
        <f>IF(Table1_2[[#This Row],[Total Price]]&gt;3330.41,"OUTLIER","NORMAL")</f>
        <v>NORMAL</v>
      </c>
      <c r="S45" s="5">
        <v>0</v>
      </c>
    </row>
    <row r="46" spans="1:19" x14ac:dyDescent="0.2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 s="6">
        <v>1100.3599999999999</v>
      </c>
      <c r="O46">
        <v>2025</v>
      </c>
      <c r="P46" s="3" t="s">
        <v>4294</v>
      </c>
      <c r="Q46">
        <v>2</v>
      </c>
      <c r="R46" t="str">
        <f>IF(Table1_2[[#This Row],[Total Price]]&gt;3330.41,"OUTLIER","NORMAL")</f>
        <v>NORMAL</v>
      </c>
      <c r="S46" s="5">
        <v>0</v>
      </c>
    </row>
    <row r="47" spans="1:19" x14ac:dyDescent="0.2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 s="6">
        <v>317.25</v>
      </c>
      <c r="O47">
        <v>2024</v>
      </c>
      <c r="P47" s="3" t="s">
        <v>4289</v>
      </c>
      <c r="Q47">
        <v>1</v>
      </c>
      <c r="R47" t="str">
        <f>IF(Table1_2[[#This Row],[Total Price]]&gt;3330.41,"OUTLIER","NORMAL")</f>
        <v>NORMAL</v>
      </c>
      <c r="S47" s="5">
        <v>0</v>
      </c>
    </row>
    <row r="48" spans="1:19" x14ac:dyDescent="0.2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 s="6">
        <v>2200.56</v>
      </c>
      <c r="O48">
        <v>2024</v>
      </c>
      <c r="P48" s="3" t="s">
        <v>4292</v>
      </c>
      <c r="Q48">
        <v>2</v>
      </c>
      <c r="R48" t="str">
        <f>IF(Table1_2[[#This Row],[Total Price]]&gt;3330.41,"OUTLIER","NORMAL")</f>
        <v>NORMAL</v>
      </c>
      <c r="S48" s="5">
        <v>0</v>
      </c>
    </row>
    <row r="49" spans="1:19" x14ac:dyDescent="0.2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 s="6">
        <v>419.88</v>
      </c>
      <c r="O49">
        <v>2023</v>
      </c>
      <c r="P49" s="3" t="s">
        <v>4298</v>
      </c>
      <c r="Q49">
        <v>3</v>
      </c>
      <c r="R49" t="str">
        <f>IF(Table1_2[[#This Row],[Total Price]]&gt;3330.41,"OUTLIER","NORMAL")</f>
        <v>NORMAL</v>
      </c>
      <c r="S49" s="5">
        <v>0</v>
      </c>
    </row>
    <row r="50" spans="1:19" x14ac:dyDescent="0.2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4293</v>
      </c>
      <c r="M50" s="3" t="s">
        <v>4282</v>
      </c>
      <c r="N50" s="6">
        <v>161.54</v>
      </c>
      <c r="O50">
        <v>2023</v>
      </c>
      <c r="P50" s="3" t="s">
        <v>4288</v>
      </c>
      <c r="Q50">
        <v>3</v>
      </c>
      <c r="R50" t="str">
        <f>IF(Table1_2[[#This Row],[Total Price]]&gt;3330.41,"OUTLIER","NORMAL")</f>
        <v>NORMAL</v>
      </c>
      <c r="S50" s="5">
        <v>0</v>
      </c>
    </row>
    <row r="51" spans="1:19" x14ac:dyDescent="0.2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 s="6">
        <v>30.44</v>
      </c>
      <c r="O51">
        <v>2023</v>
      </c>
      <c r="P51" s="3" t="s">
        <v>4290</v>
      </c>
      <c r="Q51">
        <v>4</v>
      </c>
      <c r="R51" t="str">
        <f>IF(Table1_2[[#This Row],[Total Price]]&gt;3330.41,"OUTLIER","NORMAL")</f>
        <v>NORMAL</v>
      </c>
      <c r="S51" s="5">
        <v>0</v>
      </c>
    </row>
    <row r="52" spans="1:19" x14ac:dyDescent="0.2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 s="6">
        <v>179.22</v>
      </c>
      <c r="O52">
        <v>2023</v>
      </c>
      <c r="P52" s="3" t="s">
        <v>4298</v>
      </c>
      <c r="Q52">
        <v>3</v>
      </c>
      <c r="R52" t="str">
        <f>IF(Table1_2[[#This Row],[Total Price]]&gt;3330.41,"OUTLIER","NORMAL")</f>
        <v>NORMAL</v>
      </c>
      <c r="S52" s="5">
        <v>0</v>
      </c>
    </row>
    <row r="53" spans="1:19" x14ac:dyDescent="0.2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 s="6">
        <v>388.33</v>
      </c>
      <c r="O53">
        <v>2024</v>
      </c>
      <c r="P53" s="3" t="s">
        <v>4296</v>
      </c>
      <c r="Q53">
        <v>4</v>
      </c>
      <c r="R53" t="str">
        <f>IF(Table1_2[[#This Row],[Total Price]]&gt;3330.41,"OUTLIER","NORMAL")</f>
        <v>NORMAL</v>
      </c>
      <c r="S53" s="5">
        <v>0</v>
      </c>
    </row>
    <row r="54" spans="1:19" x14ac:dyDescent="0.2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 s="6">
        <v>586.44000000000005</v>
      </c>
      <c r="O54">
        <v>2024</v>
      </c>
      <c r="P54" s="3" t="s">
        <v>4299</v>
      </c>
      <c r="Q54">
        <v>3</v>
      </c>
      <c r="R54" t="str">
        <f>IF(Table1_2[[#This Row],[Total Price]]&gt;3330.41,"OUTLIER","NORMAL")</f>
        <v>NORMAL</v>
      </c>
      <c r="S54" s="5">
        <v>0</v>
      </c>
    </row>
    <row r="55" spans="1:19" x14ac:dyDescent="0.2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 s="6">
        <v>1955.12</v>
      </c>
      <c r="O55">
        <v>2024</v>
      </c>
      <c r="P55" s="3" t="s">
        <v>4291</v>
      </c>
      <c r="Q55">
        <v>2</v>
      </c>
      <c r="R55" t="str">
        <f>IF(Table1_2[[#This Row],[Total Price]]&gt;3330.41,"OUTLIER","NORMAL")</f>
        <v>NORMAL</v>
      </c>
      <c r="S55" s="5">
        <v>0</v>
      </c>
    </row>
    <row r="56" spans="1:19" x14ac:dyDescent="0.2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 s="6">
        <v>280.25</v>
      </c>
      <c r="O56">
        <v>2025</v>
      </c>
      <c r="P56" s="3" t="s">
        <v>4297</v>
      </c>
      <c r="Q56">
        <v>1</v>
      </c>
      <c r="R56" t="str">
        <f>IF(Table1_2[[#This Row],[Total Price]]&gt;3330.41,"OUTLIER","NORMAL")</f>
        <v>NORMAL</v>
      </c>
      <c r="S56" s="5">
        <v>0</v>
      </c>
    </row>
    <row r="57" spans="1:19" x14ac:dyDescent="0.2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4293</v>
      </c>
      <c r="M57" s="3" t="s">
        <v>4281</v>
      </c>
      <c r="N57" s="6">
        <v>1033.2</v>
      </c>
      <c r="O57">
        <v>2025</v>
      </c>
      <c r="P57" s="3" t="s">
        <v>4292</v>
      </c>
      <c r="Q57">
        <v>2</v>
      </c>
      <c r="R57" t="str">
        <f>IF(Table1_2[[#This Row],[Total Price]]&gt;3330.41,"OUTLIER","NORMAL")</f>
        <v>NORMAL</v>
      </c>
      <c r="S57" s="5">
        <v>0</v>
      </c>
    </row>
    <row r="58" spans="1:19" x14ac:dyDescent="0.2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 s="6">
        <v>1437.63</v>
      </c>
      <c r="O58">
        <v>2023</v>
      </c>
      <c r="P58" s="3" t="s">
        <v>4291</v>
      </c>
      <c r="Q58">
        <v>2</v>
      </c>
      <c r="R58" t="str">
        <f>IF(Table1_2[[#This Row],[Total Price]]&gt;3330.41,"OUTLIER","NORMAL")</f>
        <v>NORMAL</v>
      </c>
      <c r="S58" s="5">
        <v>0</v>
      </c>
    </row>
    <row r="59" spans="1:19" x14ac:dyDescent="0.2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 s="6">
        <v>1571.35</v>
      </c>
      <c r="O59">
        <v>2023</v>
      </c>
      <c r="P59" s="3" t="s">
        <v>4287</v>
      </c>
      <c r="Q59">
        <v>1</v>
      </c>
      <c r="R59" t="str">
        <f>IF(Table1_2[[#This Row],[Total Price]]&gt;3330.41,"OUTLIER","NORMAL")</f>
        <v>NORMAL</v>
      </c>
      <c r="S59" s="5">
        <v>0</v>
      </c>
    </row>
    <row r="60" spans="1:19" x14ac:dyDescent="0.2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 s="6">
        <v>1898.76</v>
      </c>
      <c r="O60">
        <v>2023</v>
      </c>
      <c r="P60" s="3" t="s">
        <v>4287</v>
      </c>
      <c r="Q60">
        <v>1</v>
      </c>
      <c r="R60" t="str">
        <f>IF(Table1_2[[#This Row],[Total Price]]&gt;3330.41,"OUTLIER","NORMAL")</f>
        <v>NORMAL</v>
      </c>
      <c r="S60" s="5">
        <v>0</v>
      </c>
    </row>
    <row r="61" spans="1:19" x14ac:dyDescent="0.2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4293</v>
      </c>
      <c r="M61" s="3" t="s">
        <v>4281</v>
      </c>
      <c r="N61" s="6">
        <v>2373.08</v>
      </c>
      <c r="O61">
        <v>2024</v>
      </c>
      <c r="P61" s="3" t="s">
        <v>4299</v>
      </c>
      <c r="Q61">
        <v>3</v>
      </c>
      <c r="R61" t="str">
        <f>IF(Table1_2[[#This Row],[Total Price]]&gt;3330.41,"OUTLIER","NORMAL")</f>
        <v>NORMAL</v>
      </c>
      <c r="S61" s="5">
        <v>0</v>
      </c>
    </row>
    <row r="62" spans="1:19" x14ac:dyDescent="0.2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 s="6">
        <v>417.1</v>
      </c>
      <c r="O62">
        <v>2024</v>
      </c>
      <c r="P62" s="3" t="s">
        <v>4288</v>
      </c>
      <c r="Q62">
        <v>3</v>
      </c>
      <c r="R62" t="str">
        <f>IF(Table1_2[[#This Row],[Total Price]]&gt;3330.41,"OUTLIER","NORMAL")</f>
        <v>NORMAL</v>
      </c>
      <c r="S62" s="5">
        <v>0</v>
      </c>
    </row>
    <row r="63" spans="1:19" x14ac:dyDescent="0.2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 s="6">
        <v>488.8</v>
      </c>
      <c r="O63">
        <v>2024</v>
      </c>
      <c r="P63" s="3" t="s">
        <v>4297</v>
      </c>
      <c r="Q63">
        <v>1</v>
      </c>
      <c r="R63" t="str">
        <f>IF(Table1_2[[#This Row],[Total Price]]&gt;3330.41,"OUTLIER","NORMAL")</f>
        <v>NORMAL</v>
      </c>
      <c r="S63" s="5">
        <v>0</v>
      </c>
    </row>
    <row r="64" spans="1:19" x14ac:dyDescent="0.2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 s="6">
        <v>86.3</v>
      </c>
      <c r="O64">
        <v>2023</v>
      </c>
      <c r="P64" s="3" t="s">
        <v>4288</v>
      </c>
      <c r="Q64">
        <v>3</v>
      </c>
      <c r="R64" t="str">
        <f>IF(Table1_2[[#This Row],[Total Price]]&gt;3330.41,"OUTLIER","NORMAL")</f>
        <v>NORMAL</v>
      </c>
      <c r="S64" s="5">
        <v>0</v>
      </c>
    </row>
    <row r="65" spans="1:19" x14ac:dyDescent="0.2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 s="6">
        <v>564.86</v>
      </c>
      <c r="O65">
        <v>2025</v>
      </c>
      <c r="P65" s="3" t="s">
        <v>4289</v>
      </c>
      <c r="Q65">
        <v>1</v>
      </c>
      <c r="R65" t="str">
        <f>IF(Table1_2[[#This Row],[Total Price]]&gt;3330.41,"OUTLIER","NORMAL")</f>
        <v>NORMAL</v>
      </c>
      <c r="S65" s="5">
        <v>0</v>
      </c>
    </row>
    <row r="66" spans="1:19" x14ac:dyDescent="0.2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 s="6">
        <v>391.83</v>
      </c>
      <c r="O66">
        <v>2025</v>
      </c>
      <c r="P66" s="3" t="s">
        <v>4292</v>
      </c>
      <c r="Q66">
        <v>2</v>
      </c>
      <c r="R66" t="str">
        <f>IF(Table1_2[[#This Row],[Total Price]]&gt;3330.41,"OUTLIER","NORMAL")</f>
        <v>NORMAL</v>
      </c>
      <c r="S66" s="5">
        <v>0</v>
      </c>
    </row>
    <row r="67" spans="1:19" x14ac:dyDescent="0.2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4293</v>
      </c>
      <c r="M67" s="3" t="s">
        <v>4278</v>
      </c>
      <c r="N67" s="6">
        <v>408.5</v>
      </c>
      <c r="O67">
        <v>2023</v>
      </c>
      <c r="P67" s="3" t="s">
        <v>4296</v>
      </c>
      <c r="Q67">
        <v>4</v>
      </c>
      <c r="R67" t="str">
        <f>IF(Table1_2[[#This Row],[Total Price]]&gt;3330.41,"OUTLIER","NORMAL")</f>
        <v>NORMAL</v>
      </c>
      <c r="S67" s="5">
        <v>0</v>
      </c>
    </row>
    <row r="68" spans="1:19" x14ac:dyDescent="0.2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 s="6">
        <v>635.90000000000009</v>
      </c>
      <c r="O68">
        <v>2024</v>
      </c>
      <c r="P68" s="3" t="s">
        <v>4295</v>
      </c>
      <c r="Q68">
        <v>4</v>
      </c>
      <c r="R68" t="str">
        <f>IF(Table1_2[[#This Row],[Total Price]]&gt;3330.41,"OUTLIER","NORMAL")</f>
        <v>NORMAL</v>
      </c>
      <c r="S68" s="5">
        <v>0</v>
      </c>
    </row>
    <row r="69" spans="1:19" x14ac:dyDescent="0.2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4293</v>
      </c>
      <c r="M69" s="3" t="s">
        <v>4282</v>
      </c>
      <c r="N69" s="6">
        <v>48.4</v>
      </c>
      <c r="O69">
        <v>2024</v>
      </c>
      <c r="P69" s="3" t="s">
        <v>4296</v>
      </c>
      <c r="Q69">
        <v>4</v>
      </c>
      <c r="R69" t="str">
        <f>IF(Table1_2[[#This Row],[Total Price]]&gt;3330.41,"OUTLIER","NORMAL")</f>
        <v>NORMAL</v>
      </c>
      <c r="S69" s="5">
        <v>0</v>
      </c>
    </row>
    <row r="70" spans="1:19" x14ac:dyDescent="0.2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 s="6">
        <v>1472.76</v>
      </c>
      <c r="O70">
        <v>2023</v>
      </c>
      <c r="P70" s="3" t="s">
        <v>4296</v>
      </c>
      <c r="Q70">
        <v>4</v>
      </c>
      <c r="R70" t="str">
        <f>IF(Table1_2[[#This Row],[Total Price]]&gt;3330.41,"OUTLIER","NORMAL")</f>
        <v>NORMAL</v>
      </c>
      <c r="S70" s="5">
        <v>0</v>
      </c>
    </row>
    <row r="71" spans="1:19" x14ac:dyDescent="0.2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4293</v>
      </c>
      <c r="M71" s="3" t="s">
        <v>4279</v>
      </c>
      <c r="N71" s="6">
        <v>1435.95</v>
      </c>
      <c r="O71">
        <v>2023</v>
      </c>
      <c r="P71" s="3" t="s">
        <v>4291</v>
      </c>
      <c r="Q71">
        <v>2</v>
      </c>
      <c r="R71" t="str">
        <f>IF(Table1_2[[#This Row],[Total Price]]&gt;3330.41,"OUTLIER","NORMAL")</f>
        <v>NORMAL</v>
      </c>
      <c r="S71" s="5">
        <v>0</v>
      </c>
    </row>
    <row r="72" spans="1:19" x14ac:dyDescent="0.2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 s="6">
        <v>629.21</v>
      </c>
      <c r="O72">
        <v>2023</v>
      </c>
      <c r="P72" s="3" t="s">
        <v>4291</v>
      </c>
      <c r="Q72">
        <v>2</v>
      </c>
      <c r="R72" t="str">
        <f>IF(Table1_2[[#This Row],[Total Price]]&gt;3330.41,"OUTLIER","NORMAL")</f>
        <v>NORMAL</v>
      </c>
      <c r="S72" s="5">
        <v>0</v>
      </c>
    </row>
    <row r="73" spans="1:19" x14ac:dyDescent="0.2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4293</v>
      </c>
      <c r="M73" s="3" t="s">
        <v>4279</v>
      </c>
      <c r="N73" s="6">
        <v>1303.3499999999999</v>
      </c>
      <c r="O73">
        <v>2025</v>
      </c>
      <c r="P73" s="3" t="s">
        <v>4292</v>
      </c>
      <c r="Q73">
        <v>2</v>
      </c>
      <c r="R73" t="str">
        <f>IF(Table1_2[[#This Row],[Total Price]]&gt;3330.41,"OUTLIER","NORMAL")</f>
        <v>NORMAL</v>
      </c>
      <c r="S73" s="5">
        <v>0</v>
      </c>
    </row>
    <row r="74" spans="1:19" x14ac:dyDescent="0.2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4293</v>
      </c>
      <c r="M74" s="3" t="s">
        <v>4281</v>
      </c>
      <c r="N74" s="6">
        <v>2357.7600000000002</v>
      </c>
      <c r="O74">
        <v>2024</v>
      </c>
      <c r="P74" s="3" t="s">
        <v>4296</v>
      </c>
      <c r="Q74">
        <v>4</v>
      </c>
      <c r="R74" t="str">
        <f>IF(Table1_2[[#This Row],[Total Price]]&gt;3330.41,"OUTLIER","NORMAL")</f>
        <v>NORMAL</v>
      </c>
      <c r="S74" s="5">
        <v>0</v>
      </c>
    </row>
    <row r="75" spans="1:19" x14ac:dyDescent="0.2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4293</v>
      </c>
      <c r="M75" s="3" t="s">
        <v>4281</v>
      </c>
      <c r="N75" s="6">
        <v>1733.8</v>
      </c>
      <c r="O75">
        <v>2023</v>
      </c>
      <c r="P75" s="3" t="s">
        <v>4291</v>
      </c>
      <c r="Q75">
        <v>2</v>
      </c>
      <c r="R75" t="str">
        <f>IF(Table1_2[[#This Row],[Total Price]]&gt;3330.41,"OUTLIER","NORMAL")</f>
        <v>NORMAL</v>
      </c>
      <c r="S75" s="5">
        <v>0</v>
      </c>
    </row>
    <row r="76" spans="1:19" x14ac:dyDescent="0.2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4293</v>
      </c>
      <c r="M76" s="3" t="s">
        <v>4278</v>
      </c>
      <c r="N76" s="6">
        <v>454.35</v>
      </c>
      <c r="O76">
        <v>2023</v>
      </c>
      <c r="P76" s="3" t="s">
        <v>4292</v>
      </c>
      <c r="Q76">
        <v>2</v>
      </c>
      <c r="R76" t="str">
        <f>IF(Table1_2[[#This Row],[Total Price]]&gt;3330.41,"OUTLIER","NORMAL")</f>
        <v>NORMAL</v>
      </c>
      <c r="S76" s="5">
        <v>0</v>
      </c>
    </row>
    <row r="77" spans="1:19" x14ac:dyDescent="0.2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 s="6">
        <v>1194.51</v>
      </c>
      <c r="O77">
        <v>2023</v>
      </c>
      <c r="P77" s="3" t="s">
        <v>4299</v>
      </c>
      <c r="Q77">
        <v>3</v>
      </c>
      <c r="R77" t="str">
        <f>IF(Table1_2[[#This Row],[Total Price]]&gt;3330.41,"OUTLIER","NORMAL")</f>
        <v>NORMAL</v>
      </c>
      <c r="S77" s="5">
        <v>0</v>
      </c>
    </row>
    <row r="78" spans="1:19" x14ac:dyDescent="0.2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 s="6">
        <v>1531.52</v>
      </c>
      <c r="O78">
        <v>2024</v>
      </c>
      <c r="P78" s="3" t="s">
        <v>4297</v>
      </c>
      <c r="Q78">
        <v>1</v>
      </c>
      <c r="R78" t="str">
        <f>IF(Table1_2[[#This Row],[Total Price]]&gt;3330.41,"OUTLIER","NORMAL")</f>
        <v>NORMAL</v>
      </c>
      <c r="S78" s="5">
        <v>0</v>
      </c>
    </row>
    <row r="79" spans="1:19" x14ac:dyDescent="0.2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4293</v>
      </c>
      <c r="M79" s="3" t="s">
        <v>4282</v>
      </c>
      <c r="N79" s="6">
        <v>583.17999999999995</v>
      </c>
      <c r="O79">
        <v>2024</v>
      </c>
      <c r="P79" s="3" t="s">
        <v>4291</v>
      </c>
      <c r="Q79">
        <v>2</v>
      </c>
      <c r="R79" t="str">
        <f>IF(Table1_2[[#This Row],[Total Price]]&gt;3330.41,"OUTLIER","NORMAL")</f>
        <v>NORMAL</v>
      </c>
      <c r="S79" s="5">
        <v>0</v>
      </c>
    </row>
    <row r="80" spans="1:19" x14ac:dyDescent="0.2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 s="6">
        <v>701.44</v>
      </c>
      <c r="O80">
        <v>2024</v>
      </c>
      <c r="P80" s="3" t="s">
        <v>4288</v>
      </c>
      <c r="Q80">
        <v>3</v>
      </c>
      <c r="R80" t="str">
        <f>IF(Table1_2[[#This Row],[Total Price]]&gt;3330.41,"OUTLIER","NORMAL")</f>
        <v>NORMAL</v>
      </c>
      <c r="S80" s="5">
        <v>0</v>
      </c>
    </row>
    <row r="81" spans="1:19" x14ac:dyDescent="0.2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4293</v>
      </c>
      <c r="M81" s="3" t="s">
        <v>4281</v>
      </c>
      <c r="N81" s="6">
        <v>623.82000000000005</v>
      </c>
      <c r="O81">
        <v>2025</v>
      </c>
      <c r="P81" s="3" t="s">
        <v>4297</v>
      </c>
      <c r="Q81">
        <v>1</v>
      </c>
      <c r="R81" t="str">
        <f>IF(Table1_2[[#This Row],[Total Price]]&gt;3330.41,"OUTLIER","NORMAL")</f>
        <v>NORMAL</v>
      </c>
      <c r="S81" s="5">
        <v>0</v>
      </c>
    </row>
    <row r="82" spans="1:19" x14ac:dyDescent="0.2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4293</v>
      </c>
      <c r="M82" s="3" t="s">
        <v>4281</v>
      </c>
      <c r="N82" s="6">
        <v>1768.68</v>
      </c>
      <c r="O82">
        <v>2023</v>
      </c>
      <c r="P82" s="3" t="s">
        <v>4292</v>
      </c>
      <c r="Q82">
        <v>2</v>
      </c>
      <c r="R82" t="str">
        <f>IF(Table1_2[[#This Row],[Total Price]]&gt;3330.41,"OUTLIER","NORMAL")</f>
        <v>NORMAL</v>
      </c>
      <c r="S82" s="5">
        <v>0</v>
      </c>
    </row>
    <row r="83" spans="1:19" x14ac:dyDescent="0.2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 s="6">
        <v>788.6</v>
      </c>
      <c r="O83">
        <v>2023</v>
      </c>
      <c r="P83" s="3" t="s">
        <v>4292</v>
      </c>
      <c r="Q83">
        <v>2</v>
      </c>
      <c r="R83" t="str">
        <f>IF(Table1_2[[#This Row],[Total Price]]&gt;3330.41,"OUTLIER","NORMAL")</f>
        <v>NORMAL</v>
      </c>
      <c r="S83" s="5">
        <v>0</v>
      </c>
    </row>
    <row r="84" spans="1:19" x14ac:dyDescent="0.2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 s="6">
        <v>2260.8000000000002</v>
      </c>
      <c r="O84">
        <v>2024</v>
      </c>
      <c r="P84" s="3" t="s">
        <v>4287</v>
      </c>
      <c r="Q84">
        <v>1</v>
      </c>
      <c r="R84" t="str">
        <f>IF(Table1_2[[#This Row],[Total Price]]&gt;3330.41,"OUTLIER","NORMAL")</f>
        <v>NORMAL</v>
      </c>
      <c r="S84" s="5">
        <v>0</v>
      </c>
    </row>
    <row r="85" spans="1:19" x14ac:dyDescent="0.2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4293</v>
      </c>
      <c r="M85" s="3" t="s">
        <v>4279</v>
      </c>
      <c r="N85" s="6">
        <v>2161.64</v>
      </c>
      <c r="O85">
        <v>2023</v>
      </c>
      <c r="P85" s="3" t="s">
        <v>4288</v>
      </c>
      <c r="Q85">
        <v>3</v>
      </c>
      <c r="R85" t="str">
        <f>IF(Table1_2[[#This Row],[Total Price]]&gt;3330.41,"OUTLIER","NORMAL")</f>
        <v>NORMAL</v>
      </c>
      <c r="S85" s="5">
        <v>0</v>
      </c>
    </row>
    <row r="86" spans="1:19" x14ac:dyDescent="0.2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 s="6">
        <v>330.98</v>
      </c>
      <c r="O86">
        <v>2023</v>
      </c>
      <c r="P86" s="3" t="s">
        <v>4288</v>
      </c>
      <c r="Q86">
        <v>3</v>
      </c>
      <c r="R86" t="str">
        <f>IF(Table1_2[[#This Row],[Total Price]]&gt;3330.41,"OUTLIER","NORMAL")</f>
        <v>NORMAL</v>
      </c>
      <c r="S86" s="5">
        <v>0</v>
      </c>
    </row>
    <row r="87" spans="1:19" x14ac:dyDescent="0.2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 s="6">
        <v>440.18999999999988</v>
      </c>
      <c r="O87">
        <v>2024</v>
      </c>
      <c r="P87" s="3" t="s">
        <v>4299</v>
      </c>
      <c r="Q87">
        <v>3</v>
      </c>
      <c r="R87" t="str">
        <f>IF(Table1_2[[#This Row],[Total Price]]&gt;3330.41,"OUTLIER","NORMAL")</f>
        <v>NORMAL</v>
      </c>
      <c r="S87" s="5">
        <v>0</v>
      </c>
    </row>
    <row r="88" spans="1:19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 s="6">
        <v>3215.15</v>
      </c>
      <c r="O88">
        <v>2024</v>
      </c>
      <c r="P88" s="3" t="s">
        <v>4292</v>
      </c>
      <c r="Q88">
        <v>2</v>
      </c>
      <c r="R88" t="str">
        <f>IF(Table1_2[[#This Row],[Total Price]]&gt;3330.41,"OUTLIER","NORMAL")</f>
        <v>NORMAL</v>
      </c>
      <c r="S88" s="5">
        <v>0</v>
      </c>
    </row>
    <row r="89" spans="1:19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 s="6">
        <v>675.33</v>
      </c>
      <c r="O89">
        <v>2024</v>
      </c>
      <c r="P89" s="3" t="s">
        <v>4290</v>
      </c>
      <c r="Q89">
        <v>4</v>
      </c>
      <c r="R89" t="str">
        <f>IF(Table1_2[[#This Row],[Total Price]]&gt;3330.41,"OUTLIER","NORMAL")</f>
        <v>NORMAL</v>
      </c>
      <c r="S89" s="5">
        <v>0</v>
      </c>
    </row>
    <row r="90" spans="1:19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4293</v>
      </c>
      <c r="M90" s="3" t="s">
        <v>4282</v>
      </c>
      <c r="N90" s="6">
        <v>344.43</v>
      </c>
      <c r="O90">
        <v>2025</v>
      </c>
      <c r="P90" s="3" t="s">
        <v>4292</v>
      </c>
      <c r="Q90">
        <v>2</v>
      </c>
      <c r="R90" t="str">
        <f>IF(Table1_2[[#This Row],[Total Price]]&gt;3330.41,"OUTLIER","NORMAL")</f>
        <v>NORMAL</v>
      </c>
      <c r="S90" s="5">
        <v>0</v>
      </c>
    </row>
    <row r="91" spans="1:19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 s="6">
        <v>2276.65</v>
      </c>
      <c r="O91">
        <v>2025</v>
      </c>
      <c r="P91" s="3" t="s">
        <v>4289</v>
      </c>
      <c r="Q91">
        <v>1</v>
      </c>
      <c r="R91" t="str">
        <f>IF(Table1_2[[#This Row],[Total Price]]&gt;3330.41,"OUTLIER","NORMAL")</f>
        <v>NORMAL</v>
      </c>
      <c r="S91" s="5">
        <v>0</v>
      </c>
    </row>
    <row r="92" spans="1:19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 s="6">
        <v>728.32</v>
      </c>
      <c r="O92">
        <v>2023</v>
      </c>
      <c r="P92" s="3" t="s">
        <v>4299</v>
      </c>
      <c r="Q92">
        <v>3</v>
      </c>
      <c r="R92" t="str">
        <f>IF(Table1_2[[#This Row],[Total Price]]&gt;3330.41,"OUTLIER","NORMAL")</f>
        <v>NORMAL</v>
      </c>
      <c r="S92" s="5">
        <v>0</v>
      </c>
    </row>
    <row r="93" spans="1:19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 s="6">
        <v>2463.75</v>
      </c>
      <c r="O93">
        <v>2023</v>
      </c>
      <c r="P93" s="3" t="s">
        <v>4297</v>
      </c>
      <c r="Q93">
        <v>1</v>
      </c>
      <c r="R93" t="str">
        <f>IF(Table1_2[[#This Row],[Total Price]]&gt;3330.41,"OUTLIER","NORMAL")</f>
        <v>NORMAL</v>
      </c>
      <c r="S93" s="5">
        <v>0</v>
      </c>
    </row>
    <row r="94" spans="1:19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 s="6">
        <v>194.44</v>
      </c>
      <c r="O94">
        <v>2024</v>
      </c>
      <c r="P94" s="3" t="s">
        <v>4292</v>
      </c>
      <c r="Q94">
        <v>2</v>
      </c>
      <c r="R94" t="str">
        <f>IF(Table1_2[[#This Row],[Total Price]]&gt;3330.41,"OUTLIER","NORMAL")</f>
        <v>NORMAL</v>
      </c>
      <c r="S94" s="5">
        <v>0</v>
      </c>
    </row>
    <row r="95" spans="1:19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4293</v>
      </c>
      <c r="M95" s="3" t="s">
        <v>4279</v>
      </c>
      <c r="N95" s="6">
        <v>1724.04</v>
      </c>
      <c r="O95">
        <v>2023</v>
      </c>
      <c r="P95" s="3" t="s">
        <v>4287</v>
      </c>
      <c r="Q95">
        <v>1</v>
      </c>
      <c r="R95" t="str">
        <f>IF(Table1_2[[#This Row],[Total Price]]&gt;3330.41,"OUTLIER","NORMAL")</f>
        <v>NORMAL</v>
      </c>
      <c r="S95" s="5">
        <v>0</v>
      </c>
    </row>
    <row r="96" spans="1:19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 s="6">
        <v>531.17999999999995</v>
      </c>
      <c r="O96">
        <v>2023</v>
      </c>
      <c r="P96" s="3" t="s">
        <v>4289</v>
      </c>
      <c r="Q96">
        <v>1</v>
      </c>
      <c r="R96" t="str">
        <f>IF(Table1_2[[#This Row],[Total Price]]&gt;3330.41,"OUTLIER","NORMAL")</f>
        <v>NORMAL</v>
      </c>
      <c r="S96" s="5">
        <v>0</v>
      </c>
    </row>
    <row r="97" spans="1:19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4293</v>
      </c>
      <c r="M97" s="3" t="s">
        <v>4279</v>
      </c>
      <c r="N97" s="6">
        <v>470.04</v>
      </c>
      <c r="O97">
        <v>2023</v>
      </c>
      <c r="P97" s="3" t="s">
        <v>4297</v>
      </c>
      <c r="Q97">
        <v>1</v>
      </c>
      <c r="R97" t="str">
        <f>IF(Table1_2[[#This Row],[Total Price]]&gt;3330.41,"OUTLIER","NORMAL")</f>
        <v>NORMAL</v>
      </c>
      <c r="S97" s="5">
        <v>0</v>
      </c>
    </row>
    <row r="98" spans="1:19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4293</v>
      </c>
      <c r="M98" s="3" t="s">
        <v>4278</v>
      </c>
      <c r="N98" s="6">
        <v>465.66</v>
      </c>
      <c r="O98">
        <v>2024</v>
      </c>
      <c r="P98" s="3" t="s">
        <v>4292</v>
      </c>
      <c r="Q98">
        <v>2</v>
      </c>
      <c r="R98" t="str">
        <f>IF(Table1_2[[#This Row],[Total Price]]&gt;3330.41,"OUTLIER","NORMAL")</f>
        <v>NORMAL</v>
      </c>
      <c r="S98" s="5">
        <v>0</v>
      </c>
    </row>
    <row r="99" spans="1:19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4293</v>
      </c>
      <c r="M99" s="3" t="s">
        <v>4280</v>
      </c>
      <c r="N99" s="6">
        <v>3097.6</v>
      </c>
      <c r="O99">
        <v>2025</v>
      </c>
      <c r="P99" s="3" t="s">
        <v>4287</v>
      </c>
      <c r="Q99">
        <v>1</v>
      </c>
      <c r="R99" t="str">
        <f>IF(Table1_2[[#This Row],[Total Price]]&gt;3330.41,"OUTLIER","NORMAL")</f>
        <v>NORMAL</v>
      </c>
      <c r="S99" s="5">
        <v>0</v>
      </c>
    </row>
    <row r="100" spans="1:19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4293</v>
      </c>
      <c r="M100" s="3" t="s">
        <v>4280</v>
      </c>
      <c r="N100" s="6">
        <v>457.08</v>
      </c>
      <c r="O100">
        <v>2023</v>
      </c>
      <c r="P100" s="3" t="s">
        <v>4287</v>
      </c>
      <c r="Q100">
        <v>1</v>
      </c>
      <c r="R100" t="str">
        <f>IF(Table1_2[[#This Row],[Total Price]]&gt;3330.41,"OUTLIER","NORMAL")</f>
        <v>NORMAL</v>
      </c>
      <c r="S100" s="5">
        <v>0</v>
      </c>
    </row>
    <row r="101" spans="1:19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 s="6">
        <v>201.58</v>
      </c>
      <c r="O101">
        <v>2025</v>
      </c>
      <c r="P101" s="3" t="s">
        <v>4294</v>
      </c>
      <c r="Q101">
        <v>2</v>
      </c>
      <c r="R101" t="str">
        <f>IF(Table1_2[[#This Row],[Total Price]]&gt;3330.41,"OUTLIER","NORMAL")</f>
        <v>NORMAL</v>
      </c>
      <c r="S101" s="5">
        <v>0</v>
      </c>
    </row>
    <row r="102" spans="1:19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4293</v>
      </c>
      <c r="M102" s="3" t="s">
        <v>4281</v>
      </c>
      <c r="N102" s="6">
        <v>1994.37</v>
      </c>
      <c r="O102">
        <v>2023</v>
      </c>
      <c r="P102" s="3" t="s">
        <v>4289</v>
      </c>
      <c r="Q102">
        <v>1</v>
      </c>
      <c r="R102" t="str">
        <f>IF(Table1_2[[#This Row],[Total Price]]&gt;3330.41,"OUTLIER","NORMAL")</f>
        <v>NORMAL</v>
      </c>
      <c r="S102" s="5">
        <v>0</v>
      </c>
    </row>
    <row r="103" spans="1:19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4293</v>
      </c>
      <c r="M103" s="3" t="s">
        <v>4282</v>
      </c>
      <c r="N103" s="6">
        <v>381.02</v>
      </c>
      <c r="O103">
        <v>2023</v>
      </c>
      <c r="P103" s="3" t="s">
        <v>4295</v>
      </c>
      <c r="Q103">
        <v>4</v>
      </c>
      <c r="R103" t="str">
        <f>IF(Table1_2[[#This Row],[Total Price]]&gt;3330.41,"OUTLIER","NORMAL")</f>
        <v>NORMAL</v>
      </c>
      <c r="S103" s="5">
        <v>0</v>
      </c>
    </row>
    <row r="104" spans="1:19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 s="6">
        <v>140.68</v>
      </c>
      <c r="O104">
        <v>2023</v>
      </c>
      <c r="P104" s="3" t="s">
        <v>4297</v>
      </c>
      <c r="Q104">
        <v>1</v>
      </c>
      <c r="R104" t="str">
        <f>IF(Table1_2[[#This Row],[Total Price]]&gt;3330.41,"OUTLIER","NORMAL")</f>
        <v>NORMAL</v>
      </c>
      <c r="S104" s="5">
        <v>0</v>
      </c>
    </row>
    <row r="105" spans="1:19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 s="6">
        <v>873.72</v>
      </c>
      <c r="O105">
        <v>2025</v>
      </c>
      <c r="P105" s="3" t="s">
        <v>4287</v>
      </c>
      <c r="Q105">
        <v>1</v>
      </c>
      <c r="R105" t="str">
        <f>IF(Table1_2[[#This Row],[Total Price]]&gt;3330.41,"OUTLIER","NORMAL")</f>
        <v>NORMAL</v>
      </c>
      <c r="S105" s="5">
        <v>0</v>
      </c>
    </row>
    <row r="106" spans="1:19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 s="6">
        <v>582.04</v>
      </c>
      <c r="O106">
        <v>2024</v>
      </c>
      <c r="P106" s="3" t="s">
        <v>4298</v>
      </c>
      <c r="Q106">
        <v>3</v>
      </c>
      <c r="R106" t="str">
        <f>IF(Table1_2[[#This Row],[Total Price]]&gt;3330.41,"OUTLIER","NORMAL")</f>
        <v>NORMAL</v>
      </c>
      <c r="S106" s="5">
        <v>0</v>
      </c>
    </row>
    <row r="107" spans="1:19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4293</v>
      </c>
      <c r="M107" s="3" t="s">
        <v>4281</v>
      </c>
      <c r="N107" s="6">
        <v>556.20000000000005</v>
      </c>
      <c r="O107">
        <v>2024</v>
      </c>
      <c r="P107" s="3" t="s">
        <v>4290</v>
      </c>
      <c r="Q107">
        <v>4</v>
      </c>
      <c r="R107" t="str">
        <f>IF(Table1_2[[#This Row],[Total Price]]&gt;3330.41,"OUTLIER","NORMAL")</f>
        <v>NORMAL</v>
      </c>
      <c r="S107" s="5">
        <v>0</v>
      </c>
    </row>
    <row r="108" spans="1:19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 s="6">
        <v>1395.15</v>
      </c>
      <c r="O108">
        <v>2023</v>
      </c>
      <c r="P108" s="3" t="s">
        <v>4299</v>
      </c>
      <c r="Q108">
        <v>3</v>
      </c>
      <c r="R108" t="str">
        <f>IF(Table1_2[[#This Row],[Total Price]]&gt;3330.41,"OUTLIER","NORMAL")</f>
        <v>NORMAL</v>
      </c>
      <c r="S108" s="5">
        <v>0</v>
      </c>
    </row>
    <row r="109" spans="1:19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 s="6">
        <v>3353.75</v>
      </c>
      <c r="O109">
        <v>2023</v>
      </c>
      <c r="P109" s="3" t="s">
        <v>4297</v>
      </c>
      <c r="Q109">
        <v>1</v>
      </c>
      <c r="R109" t="str">
        <f>IF(Table1_2[[#This Row],[Total Price]]&gt;3330.41,"OUTLIER","NORMAL")</f>
        <v>OUTLIER</v>
      </c>
      <c r="S109" s="5">
        <v>0</v>
      </c>
    </row>
    <row r="110" spans="1:19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 s="6">
        <v>241.9</v>
      </c>
      <c r="O110">
        <v>2024</v>
      </c>
      <c r="P110" s="3" t="s">
        <v>4296</v>
      </c>
      <c r="Q110">
        <v>4</v>
      </c>
      <c r="R110" t="str">
        <f>IF(Table1_2[[#This Row],[Total Price]]&gt;3330.41,"OUTLIER","NORMAL")</f>
        <v>NORMAL</v>
      </c>
      <c r="S110" s="5">
        <v>0</v>
      </c>
    </row>
    <row r="111" spans="1:19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 s="6">
        <v>1778.61</v>
      </c>
      <c r="O111">
        <v>2023</v>
      </c>
      <c r="P111" s="3" t="s">
        <v>4299</v>
      </c>
      <c r="Q111">
        <v>3</v>
      </c>
      <c r="R111" t="str">
        <f>IF(Table1_2[[#This Row],[Total Price]]&gt;3330.41,"OUTLIER","NORMAL")</f>
        <v>NORMAL</v>
      </c>
      <c r="S111" s="5">
        <v>0</v>
      </c>
    </row>
    <row r="112" spans="1:19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 s="6">
        <v>220.77</v>
      </c>
      <c r="O112">
        <v>2024</v>
      </c>
      <c r="P112" s="3" t="s">
        <v>4294</v>
      </c>
      <c r="Q112">
        <v>2</v>
      </c>
      <c r="R112" t="str">
        <f>IF(Table1_2[[#This Row],[Total Price]]&gt;3330.41,"OUTLIER","NORMAL")</f>
        <v>NORMAL</v>
      </c>
      <c r="S112" s="5">
        <v>0</v>
      </c>
    </row>
    <row r="113" spans="1:19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 s="6">
        <v>927.66000000000008</v>
      </c>
      <c r="O113">
        <v>2025</v>
      </c>
      <c r="P113" s="3" t="s">
        <v>4291</v>
      </c>
      <c r="Q113">
        <v>2</v>
      </c>
      <c r="R113" t="str">
        <f>IF(Table1_2[[#This Row],[Total Price]]&gt;3330.41,"OUTLIER","NORMAL")</f>
        <v>NORMAL</v>
      </c>
      <c r="S113" s="5">
        <v>0</v>
      </c>
    </row>
    <row r="114" spans="1:19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 s="6">
        <v>410.6</v>
      </c>
      <c r="O114">
        <v>2023</v>
      </c>
      <c r="P114" s="3" t="s">
        <v>4287</v>
      </c>
      <c r="Q114">
        <v>1</v>
      </c>
      <c r="R114" t="str">
        <f>IF(Table1_2[[#This Row],[Total Price]]&gt;3330.41,"OUTLIER","NORMAL")</f>
        <v>NORMAL</v>
      </c>
      <c r="S114" s="5">
        <v>0</v>
      </c>
    </row>
    <row r="115" spans="1:19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 s="6">
        <v>950.40000000000009</v>
      </c>
      <c r="O115">
        <v>2024</v>
      </c>
      <c r="P115" s="3" t="s">
        <v>4287</v>
      </c>
      <c r="Q115">
        <v>1</v>
      </c>
      <c r="R115" t="str">
        <f>IF(Table1_2[[#This Row],[Total Price]]&gt;3330.41,"OUTLIER","NORMAL")</f>
        <v>NORMAL</v>
      </c>
      <c r="S115" s="5">
        <v>0</v>
      </c>
    </row>
    <row r="116" spans="1:19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 s="6">
        <v>2492.4</v>
      </c>
      <c r="O116">
        <v>2025</v>
      </c>
      <c r="P116" s="3" t="s">
        <v>4287</v>
      </c>
      <c r="Q116">
        <v>1</v>
      </c>
      <c r="R116" t="str">
        <f>IF(Table1_2[[#This Row],[Total Price]]&gt;3330.41,"OUTLIER","NORMAL")</f>
        <v>NORMAL</v>
      </c>
      <c r="S116" s="5">
        <v>0</v>
      </c>
    </row>
    <row r="117" spans="1:19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 s="6">
        <v>1874.95</v>
      </c>
      <c r="O117">
        <v>2023</v>
      </c>
      <c r="P117" s="3" t="s">
        <v>4295</v>
      </c>
      <c r="Q117">
        <v>4</v>
      </c>
      <c r="R117" t="str">
        <f>IF(Table1_2[[#This Row],[Total Price]]&gt;3330.41,"OUTLIER","NORMAL")</f>
        <v>NORMAL</v>
      </c>
      <c r="S117" s="5">
        <v>0</v>
      </c>
    </row>
    <row r="118" spans="1:19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 s="6">
        <v>1165.4000000000001</v>
      </c>
      <c r="O118">
        <v>2023</v>
      </c>
      <c r="P118" s="3" t="s">
        <v>4297</v>
      </c>
      <c r="Q118">
        <v>1</v>
      </c>
      <c r="R118" t="str">
        <f>IF(Table1_2[[#This Row],[Total Price]]&gt;3330.41,"OUTLIER","NORMAL")</f>
        <v>NORMAL</v>
      </c>
      <c r="S118" s="5">
        <v>0</v>
      </c>
    </row>
    <row r="119" spans="1:19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 s="6">
        <v>535.5</v>
      </c>
      <c r="O119">
        <v>2023</v>
      </c>
      <c r="P119" s="3" t="s">
        <v>4297</v>
      </c>
      <c r="Q119">
        <v>1</v>
      </c>
      <c r="R119" t="str">
        <f>IF(Table1_2[[#This Row],[Total Price]]&gt;3330.41,"OUTLIER","NORMAL")</f>
        <v>NORMAL</v>
      </c>
      <c r="S119" s="5">
        <v>0</v>
      </c>
    </row>
    <row r="120" spans="1:19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 s="6">
        <v>2513.5500000000002</v>
      </c>
      <c r="O120">
        <v>2023</v>
      </c>
      <c r="P120" s="3" t="s">
        <v>4290</v>
      </c>
      <c r="Q120">
        <v>4</v>
      </c>
      <c r="R120" t="str">
        <f>IF(Table1_2[[#This Row],[Total Price]]&gt;3330.41,"OUTLIER","NORMAL")</f>
        <v>NORMAL</v>
      </c>
      <c r="S120" s="5">
        <v>0</v>
      </c>
    </row>
    <row r="121" spans="1:19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 s="6">
        <v>1069.3399999999999</v>
      </c>
      <c r="O121">
        <v>2025</v>
      </c>
      <c r="P121" s="3" t="s">
        <v>4292</v>
      </c>
      <c r="Q121">
        <v>2</v>
      </c>
      <c r="R121" t="str">
        <f>IF(Table1_2[[#This Row],[Total Price]]&gt;3330.41,"OUTLIER","NORMAL")</f>
        <v>NORMAL</v>
      </c>
      <c r="S121" s="5">
        <v>0</v>
      </c>
    </row>
    <row r="122" spans="1:19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 s="6">
        <v>2517.36</v>
      </c>
      <c r="O122">
        <v>2023</v>
      </c>
      <c r="P122" s="3" t="s">
        <v>4294</v>
      </c>
      <c r="Q122">
        <v>2</v>
      </c>
      <c r="R122" t="str">
        <f>IF(Table1_2[[#This Row],[Total Price]]&gt;3330.41,"OUTLIER","NORMAL")</f>
        <v>NORMAL</v>
      </c>
      <c r="S122" s="5">
        <v>0</v>
      </c>
    </row>
    <row r="123" spans="1:19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 s="6">
        <v>410.78</v>
      </c>
      <c r="O123">
        <v>2023</v>
      </c>
      <c r="P123" s="3" t="s">
        <v>4295</v>
      </c>
      <c r="Q123">
        <v>4</v>
      </c>
      <c r="R123" t="str">
        <f>IF(Table1_2[[#This Row],[Total Price]]&gt;3330.41,"OUTLIER","NORMAL")</f>
        <v>NORMAL</v>
      </c>
      <c r="S123" s="5">
        <v>0</v>
      </c>
    </row>
    <row r="124" spans="1:19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4293</v>
      </c>
      <c r="M124" s="3" t="s">
        <v>4281</v>
      </c>
      <c r="N124" s="6">
        <v>1066.04</v>
      </c>
      <c r="O124">
        <v>2024</v>
      </c>
      <c r="P124" s="3" t="s">
        <v>4294</v>
      </c>
      <c r="Q124">
        <v>2</v>
      </c>
      <c r="R124" t="str">
        <f>IF(Table1_2[[#This Row],[Total Price]]&gt;3330.41,"OUTLIER","NORMAL")</f>
        <v>NORMAL</v>
      </c>
      <c r="S124" s="5">
        <v>0</v>
      </c>
    </row>
    <row r="125" spans="1:19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4293</v>
      </c>
      <c r="M125" s="3" t="s">
        <v>4278</v>
      </c>
      <c r="N125" s="6">
        <v>834.12000000000012</v>
      </c>
      <c r="O125">
        <v>2023</v>
      </c>
      <c r="P125" s="3" t="s">
        <v>4298</v>
      </c>
      <c r="Q125">
        <v>3</v>
      </c>
      <c r="R125" t="str">
        <f>IF(Table1_2[[#This Row],[Total Price]]&gt;3330.41,"OUTLIER","NORMAL")</f>
        <v>NORMAL</v>
      </c>
      <c r="S125" s="5">
        <v>0</v>
      </c>
    </row>
    <row r="126" spans="1:19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4293</v>
      </c>
      <c r="M126" s="3" t="s">
        <v>4282</v>
      </c>
      <c r="N126" s="6">
        <v>1135.1600000000001</v>
      </c>
      <c r="O126">
        <v>2024</v>
      </c>
      <c r="P126" s="3" t="s">
        <v>4298</v>
      </c>
      <c r="Q126">
        <v>3</v>
      </c>
      <c r="R126" t="str">
        <f>IF(Table1_2[[#This Row],[Total Price]]&gt;3330.41,"OUTLIER","NORMAL")</f>
        <v>NORMAL</v>
      </c>
      <c r="S126" s="5">
        <v>0</v>
      </c>
    </row>
    <row r="127" spans="1:19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 s="6">
        <v>1025.3</v>
      </c>
      <c r="O127">
        <v>2024</v>
      </c>
      <c r="P127" s="3" t="s">
        <v>4295</v>
      </c>
      <c r="Q127">
        <v>4</v>
      </c>
      <c r="R127" t="str">
        <f>IF(Table1_2[[#This Row],[Total Price]]&gt;3330.41,"OUTLIER","NORMAL")</f>
        <v>NORMAL</v>
      </c>
      <c r="S127" s="5">
        <v>0</v>
      </c>
    </row>
    <row r="128" spans="1:19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 s="6">
        <v>1102</v>
      </c>
      <c r="O128">
        <v>2025</v>
      </c>
      <c r="P128" s="3" t="s">
        <v>4291</v>
      </c>
      <c r="Q128">
        <v>2</v>
      </c>
      <c r="R128" t="str">
        <f>IF(Table1_2[[#This Row],[Total Price]]&gt;3330.41,"OUTLIER","NORMAL")</f>
        <v>NORMAL</v>
      </c>
      <c r="S128" s="5">
        <v>0</v>
      </c>
    </row>
    <row r="129" spans="1:19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4293</v>
      </c>
      <c r="M129" s="3" t="s">
        <v>4282</v>
      </c>
      <c r="N129" s="6">
        <v>1407.96</v>
      </c>
      <c r="O129">
        <v>2023</v>
      </c>
      <c r="P129" s="3" t="s">
        <v>4288</v>
      </c>
      <c r="Q129">
        <v>3</v>
      </c>
      <c r="R129" t="str">
        <f>IF(Table1_2[[#This Row],[Total Price]]&gt;3330.41,"OUTLIER","NORMAL")</f>
        <v>NORMAL</v>
      </c>
      <c r="S129" s="5">
        <v>0</v>
      </c>
    </row>
    <row r="130" spans="1:19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 s="6">
        <v>84.28</v>
      </c>
      <c r="O130">
        <v>2023</v>
      </c>
      <c r="P130" s="3" t="s">
        <v>4289</v>
      </c>
      <c r="Q130">
        <v>1</v>
      </c>
      <c r="R130" t="str">
        <f>IF(Table1_2[[#This Row],[Total Price]]&gt;3330.41,"OUTLIER","NORMAL")</f>
        <v>NORMAL</v>
      </c>
      <c r="S130" s="5">
        <v>0</v>
      </c>
    </row>
    <row r="131" spans="1:19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 s="6">
        <v>1055.72</v>
      </c>
      <c r="O131">
        <v>2023</v>
      </c>
      <c r="P131" s="3" t="s">
        <v>4290</v>
      </c>
      <c r="Q131">
        <v>4</v>
      </c>
      <c r="R131" t="str">
        <f>IF(Table1_2[[#This Row],[Total Price]]&gt;3330.41,"OUTLIER","NORMAL")</f>
        <v>NORMAL</v>
      </c>
      <c r="S131" s="5">
        <v>0</v>
      </c>
    </row>
    <row r="132" spans="1:19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 s="6">
        <v>1503.9</v>
      </c>
      <c r="O132">
        <v>2025</v>
      </c>
      <c r="P132" s="3" t="s">
        <v>4287</v>
      </c>
      <c r="Q132">
        <v>1</v>
      </c>
      <c r="R132" t="str">
        <f>IF(Table1_2[[#This Row],[Total Price]]&gt;3330.41,"OUTLIER","NORMAL")</f>
        <v>NORMAL</v>
      </c>
      <c r="S132" s="5">
        <v>0</v>
      </c>
    </row>
    <row r="133" spans="1:19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4293</v>
      </c>
      <c r="M133" s="3" t="s">
        <v>4278</v>
      </c>
      <c r="N133" s="6">
        <v>84.8</v>
      </c>
      <c r="O133">
        <v>2023</v>
      </c>
      <c r="P133" s="3" t="s">
        <v>4287</v>
      </c>
      <c r="Q133">
        <v>1</v>
      </c>
      <c r="R133" t="str">
        <f>IF(Table1_2[[#This Row],[Total Price]]&gt;3330.41,"OUTLIER","NORMAL")</f>
        <v>NORMAL</v>
      </c>
      <c r="S133" s="5">
        <v>0</v>
      </c>
    </row>
    <row r="134" spans="1:19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 s="6">
        <v>1803</v>
      </c>
      <c r="O134">
        <v>2023</v>
      </c>
      <c r="P134" s="3" t="s">
        <v>4297</v>
      </c>
      <c r="Q134">
        <v>1</v>
      </c>
      <c r="R134" t="str">
        <f>IF(Table1_2[[#This Row],[Total Price]]&gt;3330.41,"OUTLIER","NORMAL")</f>
        <v>NORMAL</v>
      </c>
      <c r="S134" s="5">
        <v>0</v>
      </c>
    </row>
    <row r="135" spans="1:19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 s="6">
        <v>1208.2</v>
      </c>
      <c r="O135">
        <v>2025</v>
      </c>
      <c r="P135" s="3" t="s">
        <v>4292</v>
      </c>
      <c r="Q135">
        <v>2</v>
      </c>
      <c r="R135" t="str">
        <f>IF(Table1_2[[#This Row],[Total Price]]&gt;3330.41,"OUTLIER","NORMAL")</f>
        <v>NORMAL</v>
      </c>
      <c r="S135" s="5">
        <v>0</v>
      </c>
    </row>
    <row r="136" spans="1:19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4293</v>
      </c>
      <c r="M136" s="3" t="s">
        <v>4280</v>
      </c>
      <c r="N136" s="6">
        <v>399.4</v>
      </c>
      <c r="O136">
        <v>2025</v>
      </c>
      <c r="P136" s="3" t="s">
        <v>4292</v>
      </c>
      <c r="Q136">
        <v>2</v>
      </c>
      <c r="R136" t="str">
        <f>IF(Table1_2[[#This Row],[Total Price]]&gt;3330.41,"OUTLIER","NORMAL")</f>
        <v>NORMAL</v>
      </c>
      <c r="S136" s="5">
        <v>0</v>
      </c>
    </row>
    <row r="137" spans="1:19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 s="6">
        <v>137.62</v>
      </c>
      <c r="O137">
        <v>2023</v>
      </c>
      <c r="P137" s="3" t="s">
        <v>4288</v>
      </c>
      <c r="Q137">
        <v>3</v>
      </c>
      <c r="R137" t="str">
        <f>IF(Table1_2[[#This Row],[Total Price]]&gt;3330.41,"OUTLIER","NORMAL")</f>
        <v>NORMAL</v>
      </c>
      <c r="S137" s="5">
        <v>0</v>
      </c>
    </row>
    <row r="138" spans="1:19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 s="6">
        <v>44.35</v>
      </c>
      <c r="O138">
        <v>2024</v>
      </c>
      <c r="P138" s="3" t="s">
        <v>4294</v>
      </c>
      <c r="Q138">
        <v>2</v>
      </c>
      <c r="R138" t="str">
        <f>IF(Table1_2[[#This Row],[Total Price]]&gt;3330.41,"OUTLIER","NORMAL")</f>
        <v>NORMAL</v>
      </c>
      <c r="S138" s="5">
        <v>0</v>
      </c>
    </row>
    <row r="139" spans="1:19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4293</v>
      </c>
      <c r="M139" s="3" t="s">
        <v>4282</v>
      </c>
      <c r="N139" s="6">
        <v>501.96</v>
      </c>
      <c r="O139">
        <v>2024</v>
      </c>
      <c r="P139" s="3" t="s">
        <v>4295</v>
      </c>
      <c r="Q139">
        <v>4</v>
      </c>
      <c r="R139" t="str">
        <f>IF(Table1_2[[#This Row],[Total Price]]&gt;3330.41,"OUTLIER","NORMAL")</f>
        <v>NORMAL</v>
      </c>
      <c r="S139" s="5">
        <v>0</v>
      </c>
    </row>
    <row r="140" spans="1:19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 s="6">
        <v>298.06</v>
      </c>
      <c r="O140">
        <v>2023</v>
      </c>
      <c r="P140" s="3" t="s">
        <v>4296</v>
      </c>
      <c r="Q140">
        <v>4</v>
      </c>
      <c r="R140" t="str">
        <f>IF(Table1_2[[#This Row],[Total Price]]&gt;3330.41,"OUTLIER","NORMAL")</f>
        <v>NORMAL</v>
      </c>
      <c r="S140" s="5">
        <v>0</v>
      </c>
    </row>
    <row r="141" spans="1:19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4293</v>
      </c>
      <c r="M141" s="3" t="s">
        <v>4280</v>
      </c>
      <c r="N141" s="6">
        <v>583.9</v>
      </c>
      <c r="O141">
        <v>2023</v>
      </c>
      <c r="P141" s="3" t="s">
        <v>4294</v>
      </c>
      <c r="Q141">
        <v>2</v>
      </c>
      <c r="R141" t="str">
        <f>IF(Table1_2[[#This Row],[Total Price]]&gt;3330.41,"OUTLIER","NORMAL")</f>
        <v>NORMAL</v>
      </c>
      <c r="S141" s="5">
        <v>0</v>
      </c>
    </row>
    <row r="142" spans="1:19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 s="6">
        <v>1584.42</v>
      </c>
      <c r="O142">
        <v>2025</v>
      </c>
      <c r="P142" s="3" t="s">
        <v>4291</v>
      </c>
      <c r="Q142">
        <v>2</v>
      </c>
      <c r="R142" t="str">
        <f>IF(Table1_2[[#This Row],[Total Price]]&gt;3330.41,"OUTLIER","NORMAL")</f>
        <v>NORMAL</v>
      </c>
      <c r="S142" s="5">
        <v>0</v>
      </c>
    </row>
    <row r="143" spans="1:19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 s="6">
        <v>2052.42</v>
      </c>
      <c r="O143">
        <v>2023</v>
      </c>
      <c r="P143" s="3" t="s">
        <v>4295</v>
      </c>
      <c r="Q143">
        <v>4</v>
      </c>
      <c r="R143" t="str">
        <f>IF(Table1_2[[#This Row],[Total Price]]&gt;3330.41,"OUTLIER","NORMAL")</f>
        <v>NORMAL</v>
      </c>
      <c r="S143" s="5">
        <v>0</v>
      </c>
    </row>
    <row r="144" spans="1:19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 s="6">
        <v>1363.85</v>
      </c>
      <c r="O144">
        <v>2023</v>
      </c>
      <c r="P144" s="3" t="s">
        <v>4299</v>
      </c>
      <c r="Q144">
        <v>3</v>
      </c>
      <c r="R144" t="str">
        <f>IF(Table1_2[[#This Row],[Total Price]]&gt;3330.41,"OUTLIER","NORMAL")</f>
        <v>NORMAL</v>
      </c>
      <c r="S144" s="5">
        <v>0</v>
      </c>
    </row>
    <row r="145" spans="1:19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4293</v>
      </c>
      <c r="M145" s="3" t="s">
        <v>4279</v>
      </c>
      <c r="N145" s="6">
        <v>1600.28</v>
      </c>
      <c r="O145">
        <v>2024</v>
      </c>
      <c r="P145" s="3" t="s">
        <v>4292</v>
      </c>
      <c r="Q145">
        <v>2</v>
      </c>
      <c r="R145" t="str">
        <f>IF(Table1_2[[#This Row],[Total Price]]&gt;3330.41,"OUTLIER","NORMAL")</f>
        <v>NORMAL</v>
      </c>
      <c r="S145" s="5">
        <v>0</v>
      </c>
    </row>
    <row r="146" spans="1:19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4293</v>
      </c>
      <c r="M146" s="3" t="s">
        <v>4281</v>
      </c>
      <c r="N146" s="6">
        <v>1098.9000000000001</v>
      </c>
      <c r="O146">
        <v>2023</v>
      </c>
      <c r="P146" s="3" t="s">
        <v>4288</v>
      </c>
      <c r="Q146">
        <v>3</v>
      </c>
      <c r="R146" t="str">
        <f>IF(Table1_2[[#This Row],[Total Price]]&gt;3330.41,"OUTLIER","NORMAL")</f>
        <v>NORMAL</v>
      </c>
      <c r="S146" s="5">
        <v>0</v>
      </c>
    </row>
    <row r="147" spans="1:19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 s="6">
        <v>440.73</v>
      </c>
      <c r="O147">
        <v>2024</v>
      </c>
      <c r="P147" s="3" t="s">
        <v>4297</v>
      </c>
      <c r="Q147">
        <v>1</v>
      </c>
      <c r="R147" t="str">
        <f>IF(Table1_2[[#This Row],[Total Price]]&gt;3330.41,"OUTLIER","NORMAL")</f>
        <v>NORMAL</v>
      </c>
      <c r="S147" s="5">
        <v>0</v>
      </c>
    </row>
    <row r="148" spans="1:19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4293</v>
      </c>
      <c r="M148" s="3" t="s">
        <v>4278</v>
      </c>
      <c r="N148" s="6">
        <v>822.98</v>
      </c>
      <c r="O148">
        <v>2025</v>
      </c>
      <c r="P148" s="3" t="s">
        <v>4294</v>
      </c>
      <c r="Q148">
        <v>2</v>
      </c>
      <c r="R148" t="str">
        <f>IF(Table1_2[[#This Row],[Total Price]]&gt;3330.41,"OUTLIER","NORMAL")</f>
        <v>NORMAL</v>
      </c>
      <c r="S148" s="5">
        <v>0</v>
      </c>
    </row>
    <row r="149" spans="1:19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 s="6">
        <v>930.36</v>
      </c>
      <c r="O149">
        <v>2025</v>
      </c>
      <c r="P149" s="3" t="s">
        <v>4291</v>
      </c>
      <c r="Q149">
        <v>2</v>
      </c>
      <c r="R149" t="str">
        <f>IF(Table1_2[[#This Row],[Total Price]]&gt;3330.41,"OUTLIER","NORMAL")</f>
        <v>NORMAL</v>
      </c>
      <c r="S149" s="5">
        <v>0</v>
      </c>
    </row>
    <row r="150" spans="1:19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 s="6">
        <v>639.82000000000005</v>
      </c>
      <c r="O150">
        <v>2024</v>
      </c>
      <c r="P150" s="3" t="s">
        <v>4296</v>
      </c>
      <c r="Q150">
        <v>4</v>
      </c>
      <c r="R150" t="str">
        <f>IF(Table1_2[[#This Row],[Total Price]]&gt;3330.41,"OUTLIER","NORMAL")</f>
        <v>NORMAL</v>
      </c>
      <c r="S150" s="5">
        <v>0</v>
      </c>
    </row>
    <row r="151" spans="1:19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4293</v>
      </c>
      <c r="M151" s="3" t="s">
        <v>4281</v>
      </c>
      <c r="N151" s="6">
        <v>217.56</v>
      </c>
      <c r="O151">
        <v>2023</v>
      </c>
      <c r="P151" s="3" t="s">
        <v>4296</v>
      </c>
      <c r="Q151">
        <v>4</v>
      </c>
      <c r="R151" t="str">
        <f>IF(Table1_2[[#This Row],[Total Price]]&gt;3330.41,"OUTLIER","NORMAL")</f>
        <v>NORMAL</v>
      </c>
      <c r="S151" s="5">
        <v>0</v>
      </c>
    </row>
    <row r="152" spans="1:19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 s="6">
        <v>211.14</v>
      </c>
      <c r="O152">
        <v>2023</v>
      </c>
      <c r="P152" s="3" t="s">
        <v>4296</v>
      </c>
      <c r="Q152">
        <v>4</v>
      </c>
      <c r="R152" t="str">
        <f>IF(Table1_2[[#This Row],[Total Price]]&gt;3330.41,"OUTLIER","NORMAL")</f>
        <v>NORMAL</v>
      </c>
      <c r="S152" s="5">
        <v>0</v>
      </c>
    </row>
    <row r="153" spans="1:19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4293</v>
      </c>
      <c r="M153" s="3" t="s">
        <v>4280</v>
      </c>
      <c r="N153" s="6">
        <v>2223.8000000000002</v>
      </c>
      <c r="O153">
        <v>2023</v>
      </c>
      <c r="P153" s="3" t="s">
        <v>4296</v>
      </c>
      <c r="Q153">
        <v>4</v>
      </c>
      <c r="R153" t="str">
        <f>IF(Table1_2[[#This Row],[Total Price]]&gt;3330.41,"OUTLIER","NORMAL")</f>
        <v>NORMAL</v>
      </c>
      <c r="S153" s="5">
        <v>0</v>
      </c>
    </row>
    <row r="154" spans="1:19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 s="6">
        <v>798.08</v>
      </c>
      <c r="O154">
        <v>2025</v>
      </c>
      <c r="P154" s="3" t="s">
        <v>4287</v>
      </c>
      <c r="Q154">
        <v>1</v>
      </c>
      <c r="R154" t="str">
        <f>IF(Table1_2[[#This Row],[Total Price]]&gt;3330.41,"OUTLIER","NORMAL")</f>
        <v>NORMAL</v>
      </c>
      <c r="S154" s="5">
        <v>0</v>
      </c>
    </row>
    <row r="155" spans="1:19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 s="6">
        <v>2137.92</v>
      </c>
      <c r="O155">
        <v>2024</v>
      </c>
      <c r="P155" s="3" t="s">
        <v>4296</v>
      </c>
      <c r="Q155">
        <v>4</v>
      </c>
      <c r="R155" t="str">
        <f>IF(Table1_2[[#This Row],[Total Price]]&gt;3330.41,"OUTLIER","NORMAL")</f>
        <v>NORMAL</v>
      </c>
      <c r="S155" s="5">
        <v>0</v>
      </c>
    </row>
    <row r="156" spans="1:19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4293</v>
      </c>
      <c r="M156" s="3" t="s">
        <v>4278</v>
      </c>
      <c r="N156" s="6">
        <v>1632.84</v>
      </c>
      <c r="O156">
        <v>2023</v>
      </c>
      <c r="P156" s="3" t="s">
        <v>4298</v>
      </c>
      <c r="Q156">
        <v>3</v>
      </c>
      <c r="R156" t="str">
        <f>IF(Table1_2[[#This Row],[Total Price]]&gt;3330.41,"OUTLIER","NORMAL")</f>
        <v>NORMAL</v>
      </c>
      <c r="S156" s="5">
        <v>0</v>
      </c>
    </row>
    <row r="157" spans="1:19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 s="6">
        <v>424.4</v>
      </c>
      <c r="O157">
        <v>2023</v>
      </c>
      <c r="P157" s="3" t="s">
        <v>4289</v>
      </c>
      <c r="Q157">
        <v>1</v>
      </c>
      <c r="R157" t="str">
        <f>IF(Table1_2[[#This Row],[Total Price]]&gt;3330.41,"OUTLIER","NORMAL")</f>
        <v>NORMAL</v>
      </c>
      <c r="S157" s="5">
        <v>0</v>
      </c>
    </row>
    <row r="158" spans="1:19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 s="6">
        <v>539.66</v>
      </c>
      <c r="O158">
        <v>2024</v>
      </c>
      <c r="P158" s="3" t="s">
        <v>4295</v>
      </c>
      <c r="Q158">
        <v>4</v>
      </c>
      <c r="R158" t="str">
        <f>IF(Table1_2[[#This Row],[Total Price]]&gt;3330.41,"OUTLIER","NORMAL")</f>
        <v>NORMAL</v>
      </c>
      <c r="S158" s="5">
        <v>0</v>
      </c>
    </row>
    <row r="159" spans="1:19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 s="6">
        <v>1129.1600000000001</v>
      </c>
      <c r="O159">
        <v>2025</v>
      </c>
      <c r="P159" s="3" t="s">
        <v>4289</v>
      </c>
      <c r="Q159">
        <v>1</v>
      </c>
      <c r="R159" t="str">
        <f>IF(Table1_2[[#This Row],[Total Price]]&gt;3330.41,"OUTLIER","NORMAL")</f>
        <v>NORMAL</v>
      </c>
      <c r="S159" s="5">
        <v>0</v>
      </c>
    </row>
    <row r="160" spans="1:19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 s="6">
        <v>331.06</v>
      </c>
      <c r="O160">
        <v>2024</v>
      </c>
      <c r="P160" s="3" t="s">
        <v>4291</v>
      </c>
      <c r="Q160">
        <v>2</v>
      </c>
      <c r="R160" t="str">
        <f>IF(Table1_2[[#This Row],[Total Price]]&gt;3330.41,"OUTLIER","NORMAL")</f>
        <v>NORMAL</v>
      </c>
      <c r="S160" s="5">
        <v>0</v>
      </c>
    </row>
    <row r="161" spans="1:19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 s="6">
        <v>299.35000000000002</v>
      </c>
      <c r="O161">
        <v>2023</v>
      </c>
      <c r="P161" s="3" t="s">
        <v>4290</v>
      </c>
      <c r="Q161">
        <v>4</v>
      </c>
      <c r="R161" t="str">
        <f>IF(Table1_2[[#This Row],[Total Price]]&gt;3330.41,"OUTLIER","NORMAL")</f>
        <v>NORMAL</v>
      </c>
      <c r="S161" s="5">
        <v>0</v>
      </c>
    </row>
    <row r="162" spans="1:19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4293</v>
      </c>
      <c r="M162" s="3" t="s">
        <v>4279</v>
      </c>
      <c r="N162" s="6">
        <v>405.28</v>
      </c>
      <c r="O162">
        <v>2023</v>
      </c>
      <c r="P162" s="3" t="s">
        <v>4289</v>
      </c>
      <c r="Q162">
        <v>1</v>
      </c>
      <c r="R162" t="str">
        <f>IF(Table1_2[[#This Row],[Total Price]]&gt;3330.41,"OUTLIER","NORMAL")</f>
        <v>NORMAL</v>
      </c>
      <c r="S162" s="5">
        <v>0</v>
      </c>
    </row>
    <row r="163" spans="1:19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 s="6">
        <v>211.14</v>
      </c>
      <c r="O163">
        <v>2024</v>
      </c>
      <c r="P163" s="3" t="s">
        <v>4297</v>
      </c>
      <c r="Q163">
        <v>1</v>
      </c>
      <c r="R163" t="str">
        <f>IF(Table1_2[[#This Row],[Total Price]]&gt;3330.41,"OUTLIER","NORMAL")</f>
        <v>NORMAL</v>
      </c>
      <c r="S163" s="5">
        <v>0</v>
      </c>
    </row>
    <row r="164" spans="1:19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 s="6">
        <v>197.58</v>
      </c>
      <c r="O164">
        <v>2023</v>
      </c>
      <c r="P164" s="3" t="s">
        <v>4298</v>
      </c>
      <c r="Q164">
        <v>3</v>
      </c>
      <c r="R164" t="str">
        <f>IF(Table1_2[[#This Row],[Total Price]]&gt;3330.41,"OUTLIER","NORMAL")</f>
        <v>NORMAL</v>
      </c>
      <c r="S164" s="5">
        <v>0</v>
      </c>
    </row>
    <row r="165" spans="1:19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4293</v>
      </c>
      <c r="M165" s="3" t="s">
        <v>4279</v>
      </c>
      <c r="N165" s="6">
        <v>641.39</v>
      </c>
      <c r="O165">
        <v>2025</v>
      </c>
      <c r="P165" s="3" t="s">
        <v>4292</v>
      </c>
      <c r="Q165">
        <v>2</v>
      </c>
      <c r="R165" t="str">
        <f>IF(Table1_2[[#This Row],[Total Price]]&gt;3330.41,"OUTLIER","NORMAL")</f>
        <v>NORMAL</v>
      </c>
      <c r="S165" s="5">
        <v>0</v>
      </c>
    </row>
    <row r="166" spans="1:19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 s="6">
        <v>2682.9</v>
      </c>
      <c r="O166">
        <v>2023</v>
      </c>
      <c r="P166" s="3" t="s">
        <v>4296</v>
      </c>
      <c r="Q166">
        <v>4</v>
      </c>
      <c r="R166" t="str">
        <f>IF(Table1_2[[#This Row],[Total Price]]&gt;3330.41,"OUTLIER","NORMAL")</f>
        <v>NORMAL</v>
      </c>
      <c r="S166" s="5">
        <v>0</v>
      </c>
    </row>
    <row r="167" spans="1:19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 s="6">
        <v>1000.58</v>
      </c>
      <c r="O167">
        <v>2024</v>
      </c>
      <c r="P167" s="3" t="s">
        <v>4299</v>
      </c>
      <c r="Q167">
        <v>3</v>
      </c>
      <c r="R167" t="str">
        <f>IF(Table1_2[[#This Row],[Total Price]]&gt;3330.41,"OUTLIER","NORMAL")</f>
        <v>NORMAL</v>
      </c>
      <c r="S167" s="5">
        <v>0</v>
      </c>
    </row>
    <row r="168" spans="1:19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 s="6">
        <v>258.87</v>
      </c>
      <c r="O168">
        <v>2025</v>
      </c>
      <c r="P168" s="3" t="s">
        <v>4297</v>
      </c>
      <c r="Q168">
        <v>1</v>
      </c>
      <c r="R168" t="str">
        <f>IF(Table1_2[[#This Row],[Total Price]]&gt;3330.41,"OUTLIER","NORMAL")</f>
        <v>NORMAL</v>
      </c>
      <c r="S168" s="5">
        <v>0</v>
      </c>
    </row>
    <row r="169" spans="1:19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 s="6">
        <v>768.28</v>
      </c>
      <c r="O169">
        <v>2023</v>
      </c>
      <c r="P169" s="3" t="s">
        <v>4291</v>
      </c>
      <c r="Q169">
        <v>2</v>
      </c>
      <c r="R169" t="str">
        <f>IF(Table1_2[[#This Row],[Total Price]]&gt;3330.41,"OUTLIER","NORMAL")</f>
        <v>NORMAL</v>
      </c>
      <c r="S169" s="5">
        <v>0</v>
      </c>
    </row>
    <row r="170" spans="1:19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4293</v>
      </c>
      <c r="M170" s="3" t="s">
        <v>4281</v>
      </c>
      <c r="N170" s="6">
        <v>594.96</v>
      </c>
      <c r="O170">
        <v>2025</v>
      </c>
      <c r="P170" s="3" t="s">
        <v>4287</v>
      </c>
      <c r="Q170">
        <v>1</v>
      </c>
      <c r="R170" t="str">
        <f>IF(Table1_2[[#This Row],[Total Price]]&gt;3330.41,"OUTLIER","NORMAL")</f>
        <v>NORMAL</v>
      </c>
      <c r="S170" s="5">
        <v>0</v>
      </c>
    </row>
    <row r="171" spans="1:19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 s="6">
        <v>427.82</v>
      </c>
      <c r="O171">
        <v>2024</v>
      </c>
      <c r="P171" s="3" t="s">
        <v>4294</v>
      </c>
      <c r="Q171">
        <v>2</v>
      </c>
      <c r="R171" t="str">
        <f>IF(Table1_2[[#This Row],[Total Price]]&gt;3330.41,"OUTLIER","NORMAL")</f>
        <v>NORMAL</v>
      </c>
      <c r="S171" s="5">
        <v>0</v>
      </c>
    </row>
    <row r="172" spans="1:19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 s="6">
        <v>2651.76</v>
      </c>
      <c r="O172">
        <v>2025</v>
      </c>
      <c r="P172" s="3" t="s">
        <v>4294</v>
      </c>
      <c r="Q172">
        <v>2</v>
      </c>
      <c r="R172" t="str">
        <f>IF(Table1_2[[#This Row],[Total Price]]&gt;3330.41,"OUTLIER","NORMAL")</f>
        <v>NORMAL</v>
      </c>
      <c r="S172" s="5">
        <v>0</v>
      </c>
    </row>
    <row r="173" spans="1:19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 s="6">
        <v>296.44</v>
      </c>
      <c r="O173">
        <v>2023</v>
      </c>
      <c r="P173" s="3" t="s">
        <v>4288</v>
      </c>
      <c r="Q173">
        <v>3</v>
      </c>
      <c r="R173" t="str">
        <f>IF(Table1_2[[#This Row],[Total Price]]&gt;3330.41,"OUTLIER","NORMAL")</f>
        <v>NORMAL</v>
      </c>
      <c r="S173" s="5">
        <v>0</v>
      </c>
    </row>
    <row r="174" spans="1:19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 s="6">
        <v>254.12</v>
      </c>
      <c r="O174">
        <v>2025</v>
      </c>
      <c r="P174" s="3" t="s">
        <v>4294</v>
      </c>
      <c r="Q174">
        <v>2</v>
      </c>
      <c r="R174" t="str">
        <f>IF(Table1_2[[#This Row],[Total Price]]&gt;3330.41,"OUTLIER","NORMAL")</f>
        <v>NORMAL</v>
      </c>
      <c r="S174" s="5">
        <v>0</v>
      </c>
    </row>
    <row r="175" spans="1:19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 s="6">
        <v>1993.38</v>
      </c>
      <c r="O175">
        <v>2024</v>
      </c>
      <c r="P175" s="3" t="s">
        <v>4297</v>
      </c>
      <c r="Q175">
        <v>1</v>
      </c>
      <c r="R175" t="str">
        <f>IF(Table1_2[[#This Row],[Total Price]]&gt;3330.41,"OUTLIER","NORMAL")</f>
        <v>NORMAL</v>
      </c>
      <c r="S175" s="5">
        <v>0</v>
      </c>
    </row>
    <row r="176" spans="1:19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 s="6">
        <v>2403.2399999999998</v>
      </c>
      <c r="O176">
        <v>2024</v>
      </c>
      <c r="P176" s="3" t="s">
        <v>4294</v>
      </c>
      <c r="Q176">
        <v>2</v>
      </c>
      <c r="R176" t="str">
        <f>IF(Table1_2[[#This Row],[Total Price]]&gt;3330.41,"OUTLIER","NORMAL")</f>
        <v>NORMAL</v>
      </c>
      <c r="S176" s="5">
        <v>0</v>
      </c>
    </row>
    <row r="177" spans="1:19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 s="6">
        <v>341.7</v>
      </c>
      <c r="O177">
        <v>2025</v>
      </c>
      <c r="P177" s="3" t="s">
        <v>4289</v>
      </c>
      <c r="Q177">
        <v>1</v>
      </c>
      <c r="R177" t="str">
        <f>IF(Table1_2[[#This Row],[Total Price]]&gt;3330.41,"OUTLIER","NORMAL")</f>
        <v>NORMAL</v>
      </c>
      <c r="S177" s="5">
        <v>0</v>
      </c>
    </row>
    <row r="178" spans="1:19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 s="6">
        <v>1723.32</v>
      </c>
      <c r="O178">
        <v>2025</v>
      </c>
      <c r="P178" s="3" t="s">
        <v>4292</v>
      </c>
      <c r="Q178">
        <v>2</v>
      </c>
      <c r="R178" t="str">
        <f>IF(Table1_2[[#This Row],[Total Price]]&gt;3330.41,"OUTLIER","NORMAL")</f>
        <v>NORMAL</v>
      </c>
      <c r="S178" s="5">
        <v>0</v>
      </c>
    </row>
    <row r="179" spans="1:19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4293</v>
      </c>
      <c r="M179" s="3" t="s">
        <v>4281</v>
      </c>
      <c r="N179" s="6">
        <v>2158.4499999999998</v>
      </c>
      <c r="O179">
        <v>2023</v>
      </c>
      <c r="P179" s="3" t="s">
        <v>4288</v>
      </c>
      <c r="Q179">
        <v>3</v>
      </c>
      <c r="R179" t="str">
        <f>IF(Table1_2[[#This Row],[Total Price]]&gt;3330.41,"OUTLIER","NORMAL")</f>
        <v>NORMAL</v>
      </c>
      <c r="S179" s="5">
        <v>0</v>
      </c>
    </row>
    <row r="180" spans="1:19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 s="6">
        <v>2048.2399999999998</v>
      </c>
      <c r="O180">
        <v>2024</v>
      </c>
      <c r="P180" s="3" t="s">
        <v>4294</v>
      </c>
      <c r="Q180">
        <v>2</v>
      </c>
      <c r="R180" t="str">
        <f>IF(Table1_2[[#This Row],[Total Price]]&gt;3330.41,"OUTLIER","NORMAL")</f>
        <v>NORMAL</v>
      </c>
      <c r="S180" s="5">
        <v>0</v>
      </c>
    </row>
    <row r="181" spans="1:19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4293</v>
      </c>
      <c r="M181" s="3" t="s">
        <v>4280</v>
      </c>
      <c r="N181" s="6">
        <v>1619.73</v>
      </c>
      <c r="O181">
        <v>2024</v>
      </c>
      <c r="P181" s="3" t="s">
        <v>4295</v>
      </c>
      <c r="Q181">
        <v>4</v>
      </c>
      <c r="R181" t="str">
        <f>IF(Table1_2[[#This Row],[Total Price]]&gt;3330.41,"OUTLIER","NORMAL")</f>
        <v>NORMAL</v>
      </c>
      <c r="S181" s="5">
        <v>0</v>
      </c>
    </row>
    <row r="182" spans="1:19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4293</v>
      </c>
      <c r="M182" s="3" t="s">
        <v>4282</v>
      </c>
      <c r="N182" s="6">
        <v>1580.35</v>
      </c>
      <c r="O182">
        <v>2023</v>
      </c>
      <c r="P182" s="3" t="s">
        <v>4297</v>
      </c>
      <c r="Q182">
        <v>1</v>
      </c>
      <c r="R182" t="str">
        <f>IF(Table1_2[[#This Row],[Total Price]]&gt;3330.41,"OUTLIER","NORMAL")</f>
        <v>NORMAL</v>
      </c>
      <c r="S182" s="5">
        <v>0</v>
      </c>
    </row>
    <row r="183" spans="1:19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4293</v>
      </c>
      <c r="M183" s="3" t="s">
        <v>4279</v>
      </c>
      <c r="N183" s="6">
        <v>2021.95</v>
      </c>
      <c r="O183">
        <v>2024</v>
      </c>
      <c r="P183" s="3" t="s">
        <v>4288</v>
      </c>
      <c r="Q183">
        <v>3</v>
      </c>
      <c r="R183" t="str">
        <f>IF(Table1_2[[#This Row],[Total Price]]&gt;3330.41,"OUTLIER","NORMAL")</f>
        <v>NORMAL</v>
      </c>
      <c r="S183" s="5">
        <v>0</v>
      </c>
    </row>
    <row r="184" spans="1:19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 s="6">
        <v>600.54</v>
      </c>
      <c r="O184">
        <v>2025</v>
      </c>
      <c r="P184" s="3" t="s">
        <v>4297</v>
      </c>
      <c r="Q184">
        <v>1</v>
      </c>
      <c r="R184" t="str">
        <f>IF(Table1_2[[#This Row],[Total Price]]&gt;3330.41,"OUTLIER","NORMAL")</f>
        <v>NORMAL</v>
      </c>
      <c r="S184" s="5">
        <v>0</v>
      </c>
    </row>
    <row r="185" spans="1:19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 s="6">
        <v>931.4</v>
      </c>
      <c r="O185">
        <v>2024</v>
      </c>
      <c r="P185" s="3" t="s">
        <v>4294</v>
      </c>
      <c r="Q185">
        <v>2</v>
      </c>
      <c r="R185" t="str">
        <f>IF(Table1_2[[#This Row],[Total Price]]&gt;3330.41,"OUTLIER","NORMAL")</f>
        <v>NORMAL</v>
      </c>
      <c r="S185" s="5">
        <v>0</v>
      </c>
    </row>
    <row r="186" spans="1:19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4293</v>
      </c>
      <c r="M186" s="3" t="s">
        <v>4279</v>
      </c>
      <c r="N186" s="6">
        <v>858.16</v>
      </c>
      <c r="O186">
        <v>2024</v>
      </c>
      <c r="P186" s="3" t="s">
        <v>4294</v>
      </c>
      <c r="Q186">
        <v>2</v>
      </c>
      <c r="R186" t="str">
        <f>IF(Table1_2[[#This Row],[Total Price]]&gt;3330.41,"OUTLIER","NORMAL")</f>
        <v>NORMAL</v>
      </c>
      <c r="S186" s="5">
        <v>0</v>
      </c>
    </row>
    <row r="187" spans="1:19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 s="6">
        <v>210.7</v>
      </c>
      <c r="O187">
        <v>2025</v>
      </c>
      <c r="P187" s="3" t="s">
        <v>4289</v>
      </c>
      <c r="Q187">
        <v>1</v>
      </c>
      <c r="R187" t="str">
        <f>IF(Table1_2[[#This Row],[Total Price]]&gt;3330.41,"OUTLIER","NORMAL")</f>
        <v>NORMAL</v>
      </c>
      <c r="S187" s="5">
        <v>0</v>
      </c>
    </row>
    <row r="188" spans="1:19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 s="6">
        <v>267.10000000000002</v>
      </c>
      <c r="O188">
        <v>2023</v>
      </c>
      <c r="P188" s="3" t="s">
        <v>4296</v>
      </c>
      <c r="Q188">
        <v>4</v>
      </c>
      <c r="R188" t="str">
        <f>IF(Table1_2[[#This Row],[Total Price]]&gt;3330.41,"OUTLIER","NORMAL")</f>
        <v>NORMAL</v>
      </c>
      <c r="S188" s="5">
        <v>0</v>
      </c>
    </row>
    <row r="189" spans="1:19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 s="6">
        <v>590.87</v>
      </c>
      <c r="O189">
        <v>2023</v>
      </c>
      <c r="P189" s="3" t="s">
        <v>4289</v>
      </c>
      <c r="Q189">
        <v>1</v>
      </c>
      <c r="R189" t="str">
        <f>IF(Table1_2[[#This Row],[Total Price]]&gt;3330.41,"OUTLIER","NORMAL")</f>
        <v>NORMAL</v>
      </c>
      <c r="S189" s="5">
        <v>0</v>
      </c>
    </row>
    <row r="190" spans="1:19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 s="6">
        <v>727.82</v>
      </c>
      <c r="O190">
        <v>2025</v>
      </c>
      <c r="P190" s="3" t="s">
        <v>4297</v>
      </c>
      <c r="Q190">
        <v>1</v>
      </c>
      <c r="R190" t="str">
        <f>IF(Table1_2[[#This Row],[Total Price]]&gt;3330.41,"OUTLIER","NORMAL")</f>
        <v>NORMAL</v>
      </c>
      <c r="S190" s="5">
        <v>0</v>
      </c>
    </row>
    <row r="191" spans="1:19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 s="6">
        <v>2147.25</v>
      </c>
      <c r="O191">
        <v>2023</v>
      </c>
      <c r="P191" s="3" t="s">
        <v>4298</v>
      </c>
      <c r="Q191">
        <v>3</v>
      </c>
      <c r="R191" t="str">
        <f>IF(Table1_2[[#This Row],[Total Price]]&gt;3330.41,"OUTLIER","NORMAL")</f>
        <v>NORMAL</v>
      </c>
      <c r="S191" s="5">
        <v>0</v>
      </c>
    </row>
    <row r="192" spans="1:19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 s="6">
        <v>671.09999999999991</v>
      </c>
      <c r="O192">
        <v>2024</v>
      </c>
      <c r="P192" s="3" t="s">
        <v>4288</v>
      </c>
      <c r="Q192">
        <v>3</v>
      </c>
      <c r="R192" t="str">
        <f>IF(Table1_2[[#This Row],[Total Price]]&gt;3330.41,"OUTLIER","NORMAL")</f>
        <v>NORMAL</v>
      </c>
      <c r="S192" s="5">
        <v>0</v>
      </c>
    </row>
    <row r="193" spans="1:19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 s="6">
        <v>977.74</v>
      </c>
      <c r="O193">
        <v>2025</v>
      </c>
      <c r="P193" s="3" t="s">
        <v>4297</v>
      </c>
      <c r="Q193">
        <v>1</v>
      </c>
      <c r="R193" t="str">
        <f>IF(Table1_2[[#This Row],[Total Price]]&gt;3330.41,"OUTLIER","NORMAL")</f>
        <v>NORMAL</v>
      </c>
      <c r="S193" s="5">
        <v>0</v>
      </c>
    </row>
    <row r="194" spans="1:19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 s="6">
        <v>645.46</v>
      </c>
      <c r="O194">
        <v>2023</v>
      </c>
      <c r="P194" s="3" t="s">
        <v>4288</v>
      </c>
      <c r="Q194">
        <v>3</v>
      </c>
      <c r="R194" t="str">
        <f>IF(Table1_2[[#This Row],[Total Price]]&gt;3330.41,"OUTLIER","NORMAL")</f>
        <v>NORMAL</v>
      </c>
      <c r="S194" s="5">
        <v>0</v>
      </c>
    </row>
    <row r="195" spans="1:19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4293</v>
      </c>
      <c r="M195" s="3" t="s">
        <v>4282</v>
      </c>
      <c r="N195" s="6">
        <v>46.66</v>
      </c>
      <c r="O195">
        <v>2023</v>
      </c>
      <c r="P195" s="3" t="s">
        <v>4298</v>
      </c>
      <c r="Q195">
        <v>3</v>
      </c>
      <c r="R195" t="str">
        <f>IF(Table1_2[[#This Row],[Total Price]]&gt;3330.41,"OUTLIER","NORMAL")</f>
        <v>NORMAL</v>
      </c>
      <c r="S195" s="5">
        <v>0</v>
      </c>
    </row>
    <row r="196" spans="1:19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 s="6">
        <v>249.57</v>
      </c>
      <c r="O196">
        <v>2024</v>
      </c>
      <c r="P196" s="3" t="s">
        <v>4292</v>
      </c>
      <c r="Q196">
        <v>2</v>
      </c>
      <c r="R196" t="str">
        <f>IF(Table1_2[[#This Row],[Total Price]]&gt;3330.41,"OUTLIER","NORMAL")</f>
        <v>NORMAL</v>
      </c>
      <c r="S196" s="5">
        <v>0</v>
      </c>
    </row>
    <row r="197" spans="1:19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4293</v>
      </c>
      <c r="M197" s="3" t="s">
        <v>4280</v>
      </c>
      <c r="N197" s="6">
        <v>1857.63</v>
      </c>
      <c r="O197">
        <v>2024</v>
      </c>
      <c r="P197" s="3" t="s">
        <v>4294</v>
      </c>
      <c r="Q197">
        <v>2</v>
      </c>
      <c r="R197" t="str">
        <f>IF(Table1_2[[#This Row],[Total Price]]&gt;3330.41,"OUTLIER","NORMAL")</f>
        <v>NORMAL</v>
      </c>
      <c r="S197" s="5">
        <v>0</v>
      </c>
    </row>
    <row r="198" spans="1:19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 s="6">
        <v>868.52</v>
      </c>
      <c r="O198">
        <v>2025</v>
      </c>
      <c r="P198" s="3" t="s">
        <v>4287</v>
      </c>
      <c r="Q198">
        <v>1</v>
      </c>
      <c r="R198" t="str">
        <f>IF(Table1_2[[#This Row],[Total Price]]&gt;3330.41,"OUTLIER","NORMAL")</f>
        <v>NORMAL</v>
      </c>
      <c r="S198" s="5">
        <v>0</v>
      </c>
    </row>
    <row r="199" spans="1:19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 s="6">
        <v>1107.55</v>
      </c>
      <c r="O199">
        <v>2023</v>
      </c>
      <c r="P199" s="3" t="s">
        <v>4288</v>
      </c>
      <c r="Q199">
        <v>3</v>
      </c>
      <c r="R199" t="str">
        <f>IF(Table1_2[[#This Row],[Total Price]]&gt;3330.41,"OUTLIER","NORMAL")</f>
        <v>NORMAL</v>
      </c>
      <c r="S199" s="5">
        <v>0</v>
      </c>
    </row>
    <row r="200" spans="1:19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 s="6">
        <v>1361.2</v>
      </c>
      <c r="O200">
        <v>2024</v>
      </c>
      <c r="P200" s="3" t="s">
        <v>4292</v>
      </c>
      <c r="Q200">
        <v>2</v>
      </c>
      <c r="R200" t="str">
        <f>IF(Table1_2[[#This Row],[Total Price]]&gt;3330.41,"OUTLIER","NORMAL")</f>
        <v>NORMAL</v>
      </c>
      <c r="S200" s="5">
        <v>0</v>
      </c>
    </row>
    <row r="201" spans="1:19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 s="6">
        <v>625</v>
      </c>
      <c r="O201">
        <v>2025</v>
      </c>
      <c r="P201" s="3" t="s">
        <v>4287</v>
      </c>
      <c r="Q201">
        <v>1</v>
      </c>
      <c r="R201" t="str">
        <f>IF(Table1_2[[#This Row],[Total Price]]&gt;3330.41,"OUTLIER","NORMAL")</f>
        <v>NORMAL</v>
      </c>
      <c r="S201" s="5">
        <v>0</v>
      </c>
    </row>
    <row r="202" spans="1:19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 s="6">
        <v>2166.3000000000002</v>
      </c>
      <c r="O202">
        <v>2025</v>
      </c>
      <c r="P202" s="3" t="s">
        <v>4292</v>
      </c>
      <c r="Q202">
        <v>2</v>
      </c>
      <c r="R202" t="str">
        <f>IF(Table1_2[[#This Row],[Total Price]]&gt;3330.41,"OUTLIER","NORMAL")</f>
        <v>NORMAL</v>
      </c>
      <c r="S202" s="5">
        <v>0</v>
      </c>
    </row>
    <row r="203" spans="1:19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 s="6">
        <v>1349.8</v>
      </c>
      <c r="O203">
        <v>2023</v>
      </c>
      <c r="P203" s="3" t="s">
        <v>4292</v>
      </c>
      <c r="Q203">
        <v>2</v>
      </c>
      <c r="R203" t="str">
        <f>IF(Table1_2[[#This Row],[Total Price]]&gt;3330.41,"OUTLIER","NORMAL")</f>
        <v>NORMAL</v>
      </c>
      <c r="S203" s="5">
        <v>0</v>
      </c>
    </row>
    <row r="204" spans="1:19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 s="6">
        <v>761.93999999999994</v>
      </c>
      <c r="O204">
        <v>2025</v>
      </c>
      <c r="P204" s="3" t="s">
        <v>4289</v>
      </c>
      <c r="Q204">
        <v>1</v>
      </c>
      <c r="R204" t="str">
        <f>IF(Table1_2[[#This Row],[Total Price]]&gt;3330.41,"OUTLIER","NORMAL")</f>
        <v>NORMAL</v>
      </c>
      <c r="S204" s="5">
        <v>0</v>
      </c>
    </row>
    <row r="205" spans="1:19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 s="6">
        <v>1070.52</v>
      </c>
      <c r="O205">
        <v>2025</v>
      </c>
      <c r="P205" s="3" t="s">
        <v>4287</v>
      </c>
      <c r="Q205">
        <v>1</v>
      </c>
      <c r="R205" t="str">
        <f>IF(Table1_2[[#This Row],[Total Price]]&gt;3330.41,"OUTLIER","NORMAL")</f>
        <v>NORMAL</v>
      </c>
      <c r="S205" s="5">
        <v>0</v>
      </c>
    </row>
    <row r="206" spans="1:19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 s="6">
        <v>1654.84</v>
      </c>
      <c r="O206">
        <v>2023</v>
      </c>
      <c r="P206" s="3" t="s">
        <v>4299</v>
      </c>
      <c r="Q206">
        <v>3</v>
      </c>
      <c r="R206" t="str">
        <f>IF(Table1_2[[#This Row],[Total Price]]&gt;3330.41,"OUTLIER","NORMAL")</f>
        <v>NORMAL</v>
      </c>
      <c r="S206" s="5">
        <v>0</v>
      </c>
    </row>
    <row r="207" spans="1:19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4293</v>
      </c>
      <c r="M207" s="3" t="s">
        <v>4280</v>
      </c>
      <c r="N207" s="6">
        <v>442.17</v>
      </c>
      <c r="O207">
        <v>2023</v>
      </c>
      <c r="P207" s="3" t="s">
        <v>4297</v>
      </c>
      <c r="Q207">
        <v>1</v>
      </c>
      <c r="R207" t="str">
        <f>IF(Table1_2[[#This Row],[Total Price]]&gt;3330.41,"OUTLIER","NORMAL")</f>
        <v>NORMAL</v>
      </c>
      <c r="S207" s="5">
        <v>0</v>
      </c>
    </row>
    <row r="208" spans="1:19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 s="6">
        <v>916.4</v>
      </c>
      <c r="O208">
        <v>2024</v>
      </c>
      <c r="P208" s="3" t="s">
        <v>4294</v>
      </c>
      <c r="Q208">
        <v>2</v>
      </c>
      <c r="R208" t="str">
        <f>IF(Table1_2[[#This Row],[Total Price]]&gt;3330.41,"OUTLIER","NORMAL")</f>
        <v>NORMAL</v>
      </c>
      <c r="S208" s="5">
        <v>0</v>
      </c>
    </row>
    <row r="209" spans="1:19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4293</v>
      </c>
      <c r="M209" s="3" t="s">
        <v>4282</v>
      </c>
      <c r="N209" s="6">
        <v>121.96</v>
      </c>
      <c r="O209">
        <v>2025</v>
      </c>
      <c r="P209" s="3" t="s">
        <v>4297</v>
      </c>
      <c r="Q209">
        <v>1</v>
      </c>
      <c r="R209" t="str">
        <f>IF(Table1_2[[#This Row],[Total Price]]&gt;3330.41,"OUTLIER","NORMAL")</f>
        <v>NORMAL</v>
      </c>
      <c r="S209" s="5">
        <v>0</v>
      </c>
    </row>
    <row r="210" spans="1:19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 s="6">
        <v>816.64</v>
      </c>
      <c r="O210">
        <v>2024</v>
      </c>
      <c r="P210" s="3" t="s">
        <v>4290</v>
      </c>
      <c r="Q210">
        <v>4</v>
      </c>
      <c r="R210" t="str">
        <f>IF(Table1_2[[#This Row],[Total Price]]&gt;3330.41,"OUTLIER","NORMAL")</f>
        <v>NORMAL</v>
      </c>
      <c r="S210" s="5">
        <v>0</v>
      </c>
    </row>
    <row r="211" spans="1:19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 s="6">
        <v>939.85</v>
      </c>
      <c r="O211">
        <v>2023</v>
      </c>
      <c r="P211" s="3" t="s">
        <v>4288</v>
      </c>
      <c r="Q211">
        <v>3</v>
      </c>
      <c r="R211" t="str">
        <f>IF(Table1_2[[#This Row],[Total Price]]&gt;3330.41,"OUTLIER","NORMAL")</f>
        <v>NORMAL</v>
      </c>
      <c r="S211" s="5">
        <v>0</v>
      </c>
    </row>
    <row r="212" spans="1:19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 s="6">
        <v>1075.44</v>
      </c>
      <c r="O212">
        <v>2024</v>
      </c>
      <c r="P212" s="3" t="s">
        <v>4296</v>
      </c>
      <c r="Q212">
        <v>4</v>
      </c>
      <c r="R212" t="str">
        <f>IF(Table1_2[[#This Row],[Total Price]]&gt;3330.41,"OUTLIER","NORMAL")</f>
        <v>NORMAL</v>
      </c>
      <c r="S212" s="5">
        <v>0</v>
      </c>
    </row>
    <row r="213" spans="1:19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 s="6">
        <v>580.74</v>
      </c>
      <c r="O213">
        <v>2025</v>
      </c>
      <c r="P213" s="3" t="s">
        <v>4287</v>
      </c>
      <c r="Q213">
        <v>1</v>
      </c>
      <c r="R213" t="str">
        <f>IF(Table1_2[[#This Row],[Total Price]]&gt;3330.41,"OUTLIER","NORMAL")</f>
        <v>NORMAL</v>
      </c>
      <c r="S213" s="5">
        <v>0</v>
      </c>
    </row>
    <row r="214" spans="1:19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 s="6">
        <v>265.38</v>
      </c>
      <c r="O214">
        <v>2023</v>
      </c>
      <c r="P214" s="3" t="s">
        <v>4292</v>
      </c>
      <c r="Q214">
        <v>2</v>
      </c>
      <c r="R214" t="str">
        <f>IF(Table1_2[[#This Row],[Total Price]]&gt;3330.41,"OUTLIER","NORMAL")</f>
        <v>NORMAL</v>
      </c>
      <c r="S214" s="5">
        <v>0</v>
      </c>
    </row>
    <row r="215" spans="1:19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 s="6">
        <v>634.4</v>
      </c>
      <c r="O215">
        <v>2023</v>
      </c>
      <c r="P215" s="3" t="s">
        <v>4294</v>
      </c>
      <c r="Q215">
        <v>2</v>
      </c>
      <c r="R215" t="str">
        <f>IF(Table1_2[[#This Row],[Total Price]]&gt;3330.41,"OUTLIER","NORMAL")</f>
        <v>NORMAL</v>
      </c>
      <c r="S215" s="5">
        <v>0</v>
      </c>
    </row>
    <row r="216" spans="1:19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4293</v>
      </c>
      <c r="M216" s="3" t="s">
        <v>4281</v>
      </c>
      <c r="N216" s="6">
        <v>1222.8800000000001</v>
      </c>
      <c r="O216">
        <v>2024</v>
      </c>
      <c r="P216" s="3" t="s">
        <v>4288</v>
      </c>
      <c r="Q216">
        <v>3</v>
      </c>
      <c r="R216" t="str">
        <f>IF(Table1_2[[#This Row],[Total Price]]&gt;3330.41,"OUTLIER","NORMAL")</f>
        <v>NORMAL</v>
      </c>
      <c r="S216" s="5">
        <v>0</v>
      </c>
    </row>
    <row r="217" spans="1:19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 s="6">
        <v>303.60000000000002</v>
      </c>
      <c r="O217">
        <v>2023</v>
      </c>
      <c r="P217" s="3" t="s">
        <v>4288</v>
      </c>
      <c r="Q217">
        <v>3</v>
      </c>
      <c r="R217" t="str">
        <f>IF(Table1_2[[#This Row],[Total Price]]&gt;3330.41,"OUTLIER","NORMAL")</f>
        <v>NORMAL</v>
      </c>
      <c r="S217" s="5">
        <v>0</v>
      </c>
    </row>
    <row r="218" spans="1:19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 s="6">
        <v>1984</v>
      </c>
      <c r="O218">
        <v>2025</v>
      </c>
      <c r="P218" s="3" t="s">
        <v>4294</v>
      </c>
      <c r="Q218">
        <v>2</v>
      </c>
      <c r="R218" t="str">
        <f>IF(Table1_2[[#This Row],[Total Price]]&gt;3330.41,"OUTLIER","NORMAL")</f>
        <v>NORMAL</v>
      </c>
      <c r="S218" s="5">
        <v>0</v>
      </c>
    </row>
    <row r="219" spans="1:19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4293</v>
      </c>
      <c r="M219" s="3" t="s">
        <v>4282</v>
      </c>
      <c r="N219" s="6">
        <v>1286.04</v>
      </c>
      <c r="O219">
        <v>2024</v>
      </c>
      <c r="P219" s="3" t="s">
        <v>4291</v>
      </c>
      <c r="Q219">
        <v>2</v>
      </c>
      <c r="R219" t="str">
        <f>IF(Table1_2[[#This Row],[Total Price]]&gt;3330.41,"OUTLIER","NORMAL")</f>
        <v>NORMAL</v>
      </c>
      <c r="S219" s="5">
        <v>0</v>
      </c>
    </row>
    <row r="220" spans="1:19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 s="6">
        <v>337.38</v>
      </c>
      <c r="O220">
        <v>2023</v>
      </c>
      <c r="P220" s="3" t="s">
        <v>4294</v>
      </c>
      <c r="Q220">
        <v>2</v>
      </c>
      <c r="R220" t="str">
        <f>IF(Table1_2[[#This Row],[Total Price]]&gt;3330.41,"OUTLIER","NORMAL")</f>
        <v>NORMAL</v>
      </c>
      <c r="S220" s="5">
        <v>0</v>
      </c>
    </row>
    <row r="221" spans="1:19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 s="6">
        <v>309.85000000000002</v>
      </c>
      <c r="O221">
        <v>2025</v>
      </c>
      <c r="P221" s="3" t="s">
        <v>4291</v>
      </c>
      <c r="Q221">
        <v>2</v>
      </c>
      <c r="R221" t="str">
        <f>IF(Table1_2[[#This Row],[Total Price]]&gt;3330.41,"OUTLIER","NORMAL")</f>
        <v>NORMAL</v>
      </c>
      <c r="S221" s="5">
        <v>0</v>
      </c>
    </row>
    <row r="222" spans="1:19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 s="6">
        <v>746.34</v>
      </c>
      <c r="O222">
        <v>2023</v>
      </c>
      <c r="P222" s="3" t="s">
        <v>4298</v>
      </c>
      <c r="Q222">
        <v>3</v>
      </c>
      <c r="R222" t="str">
        <f>IF(Table1_2[[#This Row],[Total Price]]&gt;3330.41,"OUTLIER","NORMAL")</f>
        <v>NORMAL</v>
      </c>
      <c r="S222" s="5">
        <v>0</v>
      </c>
    </row>
    <row r="223" spans="1:19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 s="6">
        <v>3196.85</v>
      </c>
      <c r="O223">
        <v>2024</v>
      </c>
      <c r="P223" s="3" t="s">
        <v>4289</v>
      </c>
      <c r="Q223">
        <v>1</v>
      </c>
      <c r="R223" t="str">
        <f>IF(Table1_2[[#This Row],[Total Price]]&gt;3330.41,"OUTLIER","NORMAL")</f>
        <v>NORMAL</v>
      </c>
      <c r="S223" s="5">
        <v>0</v>
      </c>
    </row>
    <row r="224" spans="1:19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4293</v>
      </c>
      <c r="M224" s="3" t="s">
        <v>4278</v>
      </c>
      <c r="N224" s="6">
        <v>2773.44</v>
      </c>
      <c r="O224">
        <v>2023</v>
      </c>
      <c r="P224" s="3" t="s">
        <v>4291</v>
      </c>
      <c r="Q224">
        <v>2</v>
      </c>
      <c r="R224" t="str">
        <f>IF(Table1_2[[#This Row],[Total Price]]&gt;3330.41,"OUTLIER","NORMAL")</f>
        <v>NORMAL</v>
      </c>
      <c r="S224" s="5">
        <v>0</v>
      </c>
    </row>
    <row r="225" spans="1:19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 s="6">
        <v>2771.64</v>
      </c>
      <c r="O225">
        <v>2024</v>
      </c>
      <c r="P225" s="3" t="s">
        <v>4299</v>
      </c>
      <c r="Q225">
        <v>3</v>
      </c>
      <c r="R225" t="str">
        <f>IF(Table1_2[[#This Row],[Total Price]]&gt;3330.41,"OUTLIER","NORMAL")</f>
        <v>NORMAL</v>
      </c>
      <c r="S225" s="5">
        <v>0</v>
      </c>
    </row>
    <row r="226" spans="1:19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 s="6">
        <v>365.84</v>
      </c>
      <c r="O226">
        <v>2023</v>
      </c>
      <c r="P226" s="3" t="s">
        <v>4299</v>
      </c>
      <c r="Q226">
        <v>3</v>
      </c>
      <c r="R226" t="str">
        <f>IF(Table1_2[[#This Row],[Total Price]]&gt;3330.41,"OUTLIER","NORMAL")</f>
        <v>NORMAL</v>
      </c>
      <c r="S226" s="5">
        <v>0</v>
      </c>
    </row>
    <row r="227" spans="1:19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 s="6">
        <v>821.87999999999988</v>
      </c>
      <c r="O227">
        <v>2024</v>
      </c>
      <c r="P227" s="3" t="s">
        <v>4297</v>
      </c>
      <c r="Q227">
        <v>1</v>
      </c>
      <c r="R227" t="str">
        <f>IF(Table1_2[[#This Row],[Total Price]]&gt;3330.41,"OUTLIER","NORMAL")</f>
        <v>NORMAL</v>
      </c>
      <c r="S227" s="5">
        <v>0</v>
      </c>
    </row>
    <row r="228" spans="1:19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4293</v>
      </c>
      <c r="M228" s="3" t="s">
        <v>4278</v>
      </c>
      <c r="N228" s="6">
        <v>1764.15</v>
      </c>
      <c r="O228">
        <v>2025</v>
      </c>
      <c r="P228" s="3" t="s">
        <v>4292</v>
      </c>
      <c r="Q228">
        <v>2</v>
      </c>
      <c r="R228" t="str">
        <f>IF(Table1_2[[#This Row],[Total Price]]&gt;3330.41,"OUTLIER","NORMAL")</f>
        <v>NORMAL</v>
      </c>
      <c r="S228" s="5">
        <v>0</v>
      </c>
    </row>
    <row r="229" spans="1:19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 s="6">
        <v>730.34</v>
      </c>
      <c r="O229">
        <v>2023</v>
      </c>
      <c r="P229" s="3" t="s">
        <v>4295</v>
      </c>
      <c r="Q229">
        <v>4</v>
      </c>
      <c r="R229" t="str">
        <f>IF(Table1_2[[#This Row],[Total Price]]&gt;3330.41,"OUTLIER","NORMAL")</f>
        <v>NORMAL</v>
      </c>
      <c r="S229" s="5">
        <v>0</v>
      </c>
    </row>
    <row r="230" spans="1:19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4293</v>
      </c>
      <c r="M230" s="3" t="s">
        <v>4278</v>
      </c>
      <c r="N230" s="6">
        <v>1543.68</v>
      </c>
      <c r="O230">
        <v>2023</v>
      </c>
      <c r="P230" s="3" t="s">
        <v>4291</v>
      </c>
      <c r="Q230">
        <v>2</v>
      </c>
      <c r="R230" t="str">
        <f>IF(Table1_2[[#This Row],[Total Price]]&gt;3330.41,"OUTLIER","NORMAL")</f>
        <v>NORMAL</v>
      </c>
      <c r="S230" s="5">
        <v>0</v>
      </c>
    </row>
    <row r="231" spans="1:19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 s="6">
        <v>562.61</v>
      </c>
      <c r="O231">
        <v>2025</v>
      </c>
      <c r="P231" s="3" t="s">
        <v>4297</v>
      </c>
      <c r="Q231">
        <v>1</v>
      </c>
      <c r="R231" t="str">
        <f>IF(Table1_2[[#This Row],[Total Price]]&gt;3330.41,"OUTLIER","NORMAL")</f>
        <v>NORMAL</v>
      </c>
      <c r="S231" s="5">
        <v>0</v>
      </c>
    </row>
    <row r="232" spans="1:19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 s="6">
        <v>247.64</v>
      </c>
      <c r="O232">
        <v>2023</v>
      </c>
      <c r="P232" s="3" t="s">
        <v>4296</v>
      </c>
      <c r="Q232">
        <v>4</v>
      </c>
      <c r="R232" t="str">
        <f>IF(Table1_2[[#This Row],[Total Price]]&gt;3330.41,"OUTLIER","NORMAL")</f>
        <v>NORMAL</v>
      </c>
      <c r="S232" s="5">
        <v>0</v>
      </c>
    </row>
    <row r="233" spans="1:19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 s="6">
        <v>167.6</v>
      </c>
      <c r="O233">
        <v>2023</v>
      </c>
      <c r="P233" s="3" t="s">
        <v>4295</v>
      </c>
      <c r="Q233">
        <v>4</v>
      </c>
      <c r="R233" t="str">
        <f>IF(Table1_2[[#This Row],[Total Price]]&gt;3330.41,"OUTLIER","NORMAL")</f>
        <v>NORMAL</v>
      </c>
      <c r="S233" s="5">
        <v>0</v>
      </c>
    </row>
    <row r="234" spans="1:19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 s="6">
        <v>1777.76</v>
      </c>
      <c r="O234">
        <v>2023</v>
      </c>
      <c r="P234" s="3" t="s">
        <v>4291</v>
      </c>
      <c r="Q234">
        <v>2</v>
      </c>
      <c r="R234" t="str">
        <f>IF(Table1_2[[#This Row],[Total Price]]&gt;3330.41,"OUTLIER","NORMAL")</f>
        <v>NORMAL</v>
      </c>
      <c r="S234" s="5">
        <v>0</v>
      </c>
    </row>
    <row r="235" spans="1:19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 s="6">
        <v>933.99</v>
      </c>
      <c r="O235">
        <v>2024</v>
      </c>
      <c r="P235" s="3" t="s">
        <v>4288</v>
      </c>
      <c r="Q235">
        <v>3</v>
      </c>
      <c r="R235" t="str">
        <f>IF(Table1_2[[#This Row],[Total Price]]&gt;3330.41,"OUTLIER","NORMAL")</f>
        <v>NORMAL</v>
      </c>
      <c r="S235" s="5">
        <v>0</v>
      </c>
    </row>
    <row r="236" spans="1:19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 s="6">
        <v>945.64</v>
      </c>
      <c r="O236">
        <v>2024</v>
      </c>
      <c r="P236" s="3" t="s">
        <v>4295</v>
      </c>
      <c r="Q236">
        <v>4</v>
      </c>
      <c r="R236" t="str">
        <f>IF(Table1_2[[#This Row],[Total Price]]&gt;3330.41,"OUTLIER","NORMAL")</f>
        <v>NORMAL</v>
      </c>
      <c r="S236" s="5">
        <v>0</v>
      </c>
    </row>
    <row r="237" spans="1:19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 s="6">
        <v>65.45</v>
      </c>
      <c r="O237">
        <v>2023</v>
      </c>
      <c r="P237" s="3" t="s">
        <v>4289</v>
      </c>
      <c r="Q237">
        <v>1</v>
      </c>
      <c r="R237" t="str">
        <f>IF(Table1_2[[#This Row],[Total Price]]&gt;3330.41,"OUTLIER","NORMAL")</f>
        <v>NORMAL</v>
      </c>
      <c r="S237" s="5">
        <v>0</v>
      </c>
    </row>
    <row r="238" spans="1:19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 s="6">
        <v>318.81</v>
      </c>
      <c r="O238">
        <v>2023</v>
      </c>
      <c r="P238" s="3" t="s">
        <v>4287</v>
      </c>
      <c r="Q238">
        <v>1</v>
      </c>
      <c r="R238" t="str">
        <f>IF(Table1_2[[#This Row],[Total Price]]&gt;3330.41,"OUTLIER","NORMAL")</f>
        <v>NORMAL</v>
      </c>
      <c r="S238" s="5">
        <v>0</v>
      </c>
    </row>
    <row r="239" spans="1:19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 s="6">
        <v>1751.16</v>
      </c>
      <c r="O239">
        <v>2024</v>
      </c>
      <c r="P239" s="3" t="s">
        <v>4297</v>
      </c>
      <c r="Q239">
        <v>1</v>
      </c>
      <c r="R239" t="str">
        <f>IF(Table1_2[[#This Row],[Total Price]]&gt;3330.41,"OUTLIER","NORMAL")</f>
        <v>NORMAL</v>
      </c>
      <c r="S239" s="5">
        <v>0</v>
      </c>
    </row>
    <row r="240" spans="1:19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 s="6">
        <v>1537.28</v>
      </c>
      <c r="O240">
        <v>2024</v>
      </c>
      <c r="P240" s="3" t="s">
        <v>4296</v>
      </c>
      <c r="Q240">
        <v>4</v>
      </c>
      <c r="R240" t="str">
        <f>IF(Table1_2[[#This Row],[Total Price]]&gt;3330.41,"OUTLIER","NORMAL")</f>
        <v>NORMAL</v>
      </c>
      <c r="S240" s="5">
        <v>0</v>
      </c>
    </row>
    <row r="241" spans="1:19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 s="6">
        <v>1616.22</v>
      </c>
      <c r="O241">
        <v>2024</v>
      </c>
      <c r="P241" s="3" t="s">
        <v>4296</v>
      </c>
      <c r="Q241">
        <v>4</v>
      </c>
      <c r="R241" t="str">
        <f>IF(Table1_2[[#This Row],[Total Price]]&gt;3330.41,"OUTLIER","NORMAL")</f>
        <v>NORMAL</v>
      </c>
      <c r="S241" s="5">
        <v>0</v>
      </c>
    </row>
    <row r="242" spans="1:19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 s="6">
        <v>17.239999999999998</v>
      </c>
      <c r="O242">
        <v>2023</v>
      </c>
      <c r="P242" s="3" t="s">
        <v>4298</v>
      </c>
      <c r="Q242">
        <v>3</v>
      </c>
      <c r="R242" t="str">
        <f>IF(Table1_2[[#This Row],[Total Price]]&gt;3330.41,"OUTLIER","NORMAL")</f>
        <v>NORMAL</v>
      </c>
      <c r="S242" s="5">
        <v>0</v>
      </c>
    </row>
    <row r="243" spans="1:19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 s="6">
        <v>3078.35</v>
      </c>
      <c r="O243">
        <v>2023</v>
      </c>
      <c r="P243" s="3" t="s">
        <v>4291</v>
      </c>
      <c r="Q243">
        <v>2</v>
      </c>
      <c r="R243" t="str">
        <f>IF(Table1_2[[#This Row],[Total Price]]&gt;3330.41,"OUTLIER","NORMAL")</f>
        <v>NORMAL</v>
      </c>
      <c r="S243" s="5">
        <v>0</v>
      </c>
    </row>
    <row r="244" spans="1:19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 s="6">
        <v>438.2</v>
      </c>
      <c r="O244">
        <v>2023</v>
      </c>
      <c r="P244" s="3" t="s">
        <v>4291</v>
      </c>
      <c r="Q244">
        <v>2</v>
      </c>
      <c r="R244" t="str">
        <f>IF(Table1_2[[#This Row],[Total Price]]&gt;3330.41,"OUTLIER","NORMAL")</f>
        <v>NORMAL</v>
      </c>
      <c r="S244" s="5">
        <v>0</v>
      </c>
    </row>
    <row r="245" spans="1:19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 s="6">
        <v>289.32</v>
      </c>
      <c r="O245">
        <v>2025</v>
      </c>
      <c r="P245" s="3" t="s">
        <v>4291</v>
      </c>
      <c r="Q245">
        <v>2</v>
      </c>
      <c r="R245" t="str">
        <f>IF(Table1_2[[#This Row],[Total Price]]&gt;3330.41,"OUTLIER","NORMAL")</f>
        <v>NORMAL</v>
      </c>
      <c r="S245" s="5">
        <v>0</v>
      </c>
    </row>
    <row r="246" spans="1:19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 s="6">
        <v>635.54</v>
      </c>
      <c r="O246">
        <v>2023</v>
      </c>
      <c r="P246" s="3" t="s">
        <v>4289</v>
      </c>
      <c r="Q246">
        <v>1</v>
      </c>
      <c r="R246" t="str">
        <f>IF(Table1_2[[#This Row],[Total Price]]&gt;3330.41,"OUTLIER","NORMAL")</f>
        <v>NORMAL</v>
      </c>
      <c r="S246" s="5">
        <v>0</v>
      </c>
    </row>
    <row r="247" spans="1:19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4293</v>
      </c>
      <c r="M247" s="3" t="s">
        <v>4281</v>
      </c>
      <c r="N247" s="6">
        <v>223.3</v>
      </c>
      <c r="O247">
        <v>2025</v>
      </c>
      <c r="P247" s="3" t="s">
        <v>4294</v>
      </c>
      <c r="Q247">
        <v>2</v>
      </c>
      <c r="R247" t="str">
        <f>IF(Table1_2[[#This Row],[Total Price]]&gt;3330.41,"OUTLIER","NORMAL")</f>
        <v>NORMAL</v>
      </c>
      <c r="S247" s="5">
        <v>0</v>
      </c>
    </row>
    <row r="248" spans="1:19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 s="6">
        <v>684.22</v>
      </c>
      <c r="O248">
        <v>2024</v>
      </c>
      <c r="P248" s="3" t="s">
        <v>4288</v>
      </c>
      <c r="Q248">
        <v>3</v>
      </c>
      <c r="R248" t="str">
        <f>IF(Table1_2[[#This Row],[Total Price]]&gt;3330.41,"OUTLIER","NORMAL")</f>
        <v>NORMAL</v>
      </c>
      <c r="S248" s="5">
        <v>0</v>
      </c>
    </row>
    <row r="249" spans="1:19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4293</v>
      </c>
      <c r="M249" s="3" t="s">
        <v>4280</v>
      </c>
      <c r="N249" s="6">
        <v>441.8</v>
      </c>
      <c r="O249">
        <v>2023</v>
      </c>
      <c r="P249" s="3" t="s">
        <v>4298</v>
      </c>
      <c r="Q249">
        <v>3</v>
      </c>
      <c r="R249" t="str">
        <f>IF(Table1_2[[#This Row],[Total Price]]&gt;3330.41,"OUTLIER","NORMAL")</f>
        <v>NORMAL</v>
      </c>
      <c r="S249" s="5">
        <v>0</v>
      </c>
    </row>
    <row r="250" spans="1:19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 s="6">
        <v>670.54</v>
      </c>
      <c r="O250">
        <v>2023</v>
      </c>
      <c r="P250" s="3" t="s">
        <v>4298</v>
      </c>
      <c r="Q250">
        <v>3</v>
      </c>
      <c r="R250" t="str">
        <f>IF(Table1_2[[#This Row],[Total Price]]&gt;3330.41,"OUTLIER","NORMAL")</f>
        <v>NORMAL</v>
      </c>
      <c r="S250" s="5">
        <v>0</v>
      </c>
    </row>
    <row r="251" spans="1:19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 s="6">
        <v>546.19000000000005</v>
      </c>
      <c r="O251">
        <v>2024</v>
      </c>
      <c r="P251" s="3" t="s">
        <v>4289</v>
      </c>
      <c r="Q251">
        <v>1</v>
      </c>
      <c r="R251" t="str">
        <f>IF(Table1_2[[#This Row],[Total Price]]&gt;3330.41,"OUTLIER","NORMAL")</f>
        <v>NORMAL</v>
      </c>
      <c r="S251" s="5">
        <v>0</v>
      </c>
    </row>
    <row r="252" spans="1:19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 s="6">
        <v>128.85</v>
      </c>
      <c r="O252">
        <v>2023</v>
      </c>
      <c r="P252" s="3" t="s">
        <v>4294</v>
      </c>
      <c r="Q252">
        <v>2</v>
      </c>
      <c r="R252" t="str">
        <f>IF(Table1_2[[#This Row],[Total Price]]&gt;3330.41,"OUTLIER","NORMAL")</f>
        <v>NORMAL</v>
      </c>
      <c r="S252" s="5">
        <v>0</v>
      </c>
    </row>
    <row r="253" spans="1:19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4293</v>
      </c>
      <c r="M253" s="3" t="s">
        <v>4280</v>
      </c>
      <c r="N253" s="6">
        <v>58.76</v>
      </c>
      <c r="O253">
        <v>2025</v>
      </c>
      <c r="P253" s="3" t="s">
        <v>4291</v>
      </c>
      <c r="Q253">
        <v>2</v>
      </c>
      <c r="R253" t="str">
        <f>IF(Table1_2[[#This Row],[Total Price]]&gt;3330.41,"OUTLIER","NORMAL")</f>
        <v>NORMAL</v>
      </c>
      <c r="S253" s="5">
        <v>0</v>
      </c>
    </row>
    <row r="254" spans="1:19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 s="6">
        <v>2673.44</v>
      </c>
      <c r="O254">
        <v>2024</v>
      </c>
      <c r="P254" s="3" t="s">
        <v>4299</v>
      </c>
      <c r="Q254">
        <v>3</v>
      </c>
      <c r="R254" t="str">
        <f>IF(Table1_2[[#This Row],[Total Price]]&gt;3330.41,"OUTLIER","NORMAL")</f>
        <v>NORMAL</v>
      </c>
      <c r="S254" s="5">
        <v>0</v>
      </c>
    </row>
    <row r="255" spans="1:19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 s="6">
        <v>1654.96</v>
      </c>
      <c r="O255">
        <v>2024</v>
      </c>
      <c r="P255" s="3" t="s">
        <v>4297</v>
      </c>
      <c r="Q255">
        <v>1</v>
      </c>
      <c r="R255" t="str">
        <f>IF(Table1_2[[#This Row],[Total Price]]&gt;3330.41,"OUTLIER","NORMAL")</f>
        <v>NORMAL</v>
      </c>
      <c r="S255" s="5">
        <v>0</v>
      </c>
    </row>
    <row r="256" spans="1:19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4293</v>
      </c>
      <c r="M256" s="3" t="s">
        <v>4278</v>
      </c>
      <c r="N256" s="6">
        <v>789.56999999999994</v>
      </c>
      <c r="O256">
        <v>2023</v>
      </c>
      <c r="P256" s="3" t="s">
        <v>4296</v>
      </c>
      <c r="Q256">
        <v>4</v>
      </c>
      <c r="R256" t="str">
        <f>IF(Table1_2[[#This Row],[Total Price]]&gt;3330.41,"OUTLIER","NORMAL")</f>
        <v>NORMAL</v>
      </c>
      <c r="S256" s="5">
        <v>0</v>
      </c>
    </row>
    <row r="257" spans="1:19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 s="6">
        <v>263.95999999999998</v>
      </c>
      <c r="O257">
        <v>2024</v>
      </c>
      <c r="P257" s="3" t="s">
        <v>4291</v>
      </c>
      <c r="Q257">
        <v>2</v>
      </c>
      <c r="R257" t="str">
        <f>IF(Table1_2[[#This Row],[Total Price]]&gt;3330.41,"OUTLIER","NORMAL")</f>
        <v>NORMAL</v>
      </c>
      <c r="S257" s="5">
        <v>0</v>
      </c>
    </row>
    <row r="258" spans="1:19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 s="6">
        <v>379.05</v>
      </c>
      <c r="O258">
        <v>2025</v>
      </c>
      <c r="P258" s="3" t="s">
        <v>4292</v>
      </c>
      <c r="Q258">
        <v>2</v>
      </c>
      <c r="R258" t="str">
        <f>IF(Table1_2[[#This Row],[Total Price]]&gt;3330.41,"OUTLIER","NORMAL")</f>
        <v>NORMAL</v>
      </c>
      <c r="S258" s="5">
        <v>0</v>
      </c>
    </row>
    <row r="259" spans="1:19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 s="6">
        <v>406.22</v>
      </c>
      <c r="O259">
        <v>2024</v>
      </c>
      <c r="P259" s="3" t="s">
        <v>4294</v>
      </c>
      <c r="Q259">
        <v>2</v>
      </c>
      <c r="R259" t="str">
        <f>IF(Table1_2[[#This Row],[Total Price]]&gt;3330.41,"OUTLIER","NORMAL")</f>
        <v>NORMAL</v>
      </c>
      <c r="S259" s="5">
        <v>0</v>
      </c>
    </row>
    <row r="260" spans="1:19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 s="6">
        <v>206.82</v>
      </c>
      <c r="O260">
        <v>2024</v>
      </c>
      <c r="P260" s="3" t="s">
        <v>4289</v>
      </c>
      <c r="Q260">
        <v>1</v>
      </c>
      <c r="R260" t="str">
        <f>IF(Table1_2[[#This Row],[Total Price]]&gt;3330.41,"OUTLIER","NORMAL")</f>
        <v>NORMAL</v>
      </c>
      <c r="S260" s="5">
        <v>0</v>
      </c>
    </row>
    <row r="261" spans="1:19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 s="6">
        <v>1740.48</v>
      </c>
      <c r="O261">
        <v>2023</v>
      </c>
      <c r="P261" s="3" t="s">
        <v>4292</v>
      </c>
      <c r="Q261">
        <v>2</v>
      </c>
      <c r="R261" t="str">
        <f>IF(Table1_2[[#This Row],[Total Price]]&gt;3330.41,"OUTLIER","NORMAL")</f>
        <v>NORMAL</v>
      </c>
      <c r="S261" s="5">
        <v>0</v>
      </c>
    </row>
    <row r="262" spans="1:19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4293</v>
      </c>
      <c r="M262" s="3" t="s">
        <v>4282</v>
      </c>
      <c r="N262" s="6">
        <v>815.58</v>
      </c>
      <c r="O262">
        <v>2023</v>
      </c>
      <c r="P262" s="3" t="s">
        <v>4291</v>
      </c>
      <c r="Q262">
        <v>2</v>
      </c>
      <c r="R262" t="str">
        <f>IF(Table1_2[[#This Row],[Total Price]]&gt;3330.41,"OUTLIER","NORMAL")</f>
        <v>NORMAL</v>
      </c>
      <c r="S262" s="5">
        <v>0</v>
      </c>
    </row>
    <row r="263" spans="1:19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 s="6">
        <v>868.25</v>
      </c>
      <c r="O263">
        <v>2025</v>
      </c>
      <c r="P263" s="3" t="s">
        <v>4291</v>
      </c>
      <c r="Q263">
        <v>2</v>
      </c>
      <c r="R263" t="str">
        <f>IF(Table1_2[[#This Row],[Total Price]]&gt;3330.41,"OUTLIER","NORMAL")</f>
        <v>NORMAL</v>
      </c>
      <c r="S263" s="5">
        <v>0</v>
      </c>
    </row>
    <row r="264" spans="1:19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 s="6">
        <v>996.28</v>
      </c>
      <c r="O264">
        <v>2023</v>
      </c>
      <c r="P264" s="3" t="s">
        <v>4287</v>
      </c>
      <c r="Q264">
        <v>1</v>
      </c>
      <c r="R264" t="str">
        <f>IF(Table1_2[[#This Row],[Total Price]]&gt;3330.41,"OUTLIER","NORMAL")</f>
        <v>NORMAL</v>
      </c>
      <c r="S264" s="5">
        <v>0</v>
      </c>
    </row>
    <row r="265" spans="1:19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 s="6">
        <v>1739.4</v>
      </c>
      <c r="O265">
        <v>2023</v>
      </c>
      <c r="P265" s="3" t="s">
        <v>4297</v>
      </c>
      <c r="Q265">
        <v>1</v>
      </c>
      <c r="R265" t="str">
        <f>IF(Table1_2[[#This Row],[Total Price]]&gt;3330.41,"OUTLIER","NORMAL")</f>
        <v>NORMAL</v>
      </c>
      <c r="S265" s="5">
        <v>0</v>
      </c>
    </row>
    <row r="266" spans="1:19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 s="6">
        <v>436.77</v>
      </c>
      <c r="O266">
        <v>2024</v>
      </c>
      <c r="P266" s="3" t="s">
        <v>4288</v>
      </c>
      <c r="Q266">
        <v>3</v>
      </c>
      <c r="R266" t="str">
        <f>IF(Table1_2[[#This Row],[Total Price]]&gt;3330.41,"OUTLIER","NORMAL")</f>
        <v>NORMAL</v>
      </c>
      <c r="S266" s="5">
        <v>0</v>
      </c>
    </row>
    <row r="267" spans="1:19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 s="6">
        <v>572.13</v>
      </c>
      <c r="O267">
        <v>2023</v>
      </c>
      <c r="P267" s="3" t="s">
        <v>4296</v>
      </c>
      <c r="Q267">
        <v>4</v>
      </c>
      <c r="R267" t="str">
        <f>IF(Table1_2[[#This Row],[Total Price]]&gt;3330.41,"OUTLIER","NORMAL")</f>
        <v>NORMAL</v>
      </c>
      <c r="S267" s="5">
        <v>0</v>
      </c>
    </row>
    <row r="268" spans="1:19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 s="6">
        <v>2332.2800000000002</v>
      </c>
      <c r="O268">
        <v>2024</v>
      </c>
      <c r="P268" s="3" t="s">
        <v>4292</v>
      </c>
      <c r="Q268">
        <v>2</v>
      </c>
      <c r="R268" t="str">
        <f>IF(Table1_2[[#This Row],[Total Price]]&gt;3330.41,"OUTLIER","NORMAL")</f>
        <v>NORMAL</v>
      </c>
      <c r="S268" s="5">
        <v>0</v>
      </c>
    </row>
    <row r="269" spans="1:19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4293</v>
      </c>
      <c r="M269" s="3" t="s">
        <v>4281</v>
      </c>
      <c r="N269" s="6">
        <v>2342.5500000000002</v>
      </c>
      <c r="O269">
        <v>2025</v>
      </c>
      <c r="P269" s="3" t="s">
        <v>4294</v>
      </c>
      <c r="Q269">
        <v>2</v>
      </c>
      <c r="R269" t="str">
        <f>IF(Table1_2[[#This Row],[Total Price]]&gt;3330.41,"OUTLIER","NORMAL")</f>
        <v>NORMAL</v>
      </c>
      <c r="S269" s="5">
        <v>0</v>
      </c>
    </row>
    <row r="270" spans="1:19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 s="6">
        <v>847.76</v>
      </c>
      <c r="O270">
        <v>2023</v>
      </c>
      <c r="P270" s="3" t="s">
        <v>4288</v>
      </c>
      <c r="Q270">
        <v>3</v>
      </c>
      <c r="R270" t="str">
        <f>IF(Table1_2[[#This Row],[Total Price]]&gt;3330.41,"OUTLIER","NORMAL")</f>
        <v>NORMAL</v>
      </c>
      <c r="S270" s="5">
        <v>0</v>
      </c>
    </row>
    <row r="271" spans="1:19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 s="6">
        <v>2654.68</v>
      </c>
      <c r="O271">
        <v>2023</v>
      </c>
      <c r="P271" s="3" t="s">
        <v>4295</v>
      </c>
      <c r="Q271">
        <v>4</v>
      </c>
      <c r="R271" t="str">
        <f>IF(Table1_2[[#This Row],[Total Price]]&gt;3330.41,"OUTLIER","NORMAL")</f>
        <v>NORMAL</v>
      </c>
      <c r="S271" s="5">
        <v>0</v>
      </c>
    </row>
    <row r="272" spans="1:19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 s="6">
        <v>1239.6400000000001</v>
      </c>
      <c r="O272">
        <v>2023</v>
      </c>
      <c r="P272" s="3" t="s">
        <v>4292</v>
      </c>
      <c r="Q272">
        <v>2</v>
      </c>
      <c r="R272" t="str">
        <f>IF(Table1_2[[#This Row],[Total Price]]&gt;3330.41,"OUTLIER","NORMAL")</f>
        <v>NORMAL</v>
      </c>
      <c r="S272" s="5">
        <v>0</v>
      </c>
    </row>
    <row r="273" spans="1:19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 s="6">
        <v>542.07000000000005</v>
      </c>
      <c r="O273">
        <v>2023</v>
      </c>
      <c r="P273" s="3" t="s">
        <v>4297</v>
      </c>
      <c r="Q273">
        <v>1</v>
      </c>
      <c r="R273" t="str">
        <f>IF(Table1_2[[#This Row],[Total Price]]&gt;3330.41,"OUTLIER","NORMAL")</f>
        <v>NORMAL</v>
      </c>
      <c r="S273" s="5">
        <v>0</v>
      </c>
    </row>
    <row r="274" spans="1:19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 s="6">
        <v>798.64</v>
      </c>
      <c r="O274">
        <v>2023</v>
      </c>
      <c r="P274" s="3" t="s">
        <v>4299</v>
      </c>
      <c r="Q274">
        <v>3</v>
      </c>
      <c r="R274" t="str">
        <f>IF(Table1_2[[#This Row],[Total Price]]&gt;3330.41,"OUTLIER","NORMAL")</f>
        <v>NORMAL</v>
      </c>
      <c r="S274" s="5">
        <v>0</v>
      </c>
    </row>
    <row r="275" spans="1:19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 s="6">
        <v>476.5</v>
      </c>
      <c r="O275">
        <v>2024</v>
      </c>
      <c r="P275" s="3" t="s">
        <v>4290</v>
      </c>
      <c r="Q275">
        <v>4</v>
      </c>
      <c r="R275" t="str">
        <f>IF(Table1_2[[#This Row],[Total Price]]&gt;3330.41,"OUTLIER","NORMAL")</f>
        <v>NORMAL</v>
      </c>
      <c r="S275" s="5">
        <v>0</v>
      </c>
    </row>
    <row r="276" spans="1:19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 s="6">
        <v>364.8</v>
      </c>
      <c r="O276">
        <v>2023</v>
      </c>
      <c r="P276" s="3" t="s">
        <v>4289</v>
      </c>
      <c r="Q276">
        <v>1</v>
      </c>
      <c r="R276" t="str">
        <f>IF(Table1_2[[#This Row],[Total Price]]&gt;3330.41,"OUTLIER","NORMAL")</f>
        <v>NORMAL</v>
      </c>
      <c r="S276" s="5">
        <v>0</v>
      </c>
    </row>
    <row r="277" spans="1:19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 s="6">
        <v>130.13999999999999</v>
      </c>
      <c r="O277">
        <v>2023</v>
      </c>
      <c r="P277" s="3" t="s">
        <v>4295</v>
      </c>
      <c r="Q277">
        <v>4</v>
      </c>
      <c r="R277" t="str">
        <f>IF(Table1_2[[#This Row],[Total Price]]&gt;3330.41,"OUTLIER","NORMAL")</f>
        <v>NORMAL</v>
      </c>
      <c r="S277" s="5">
        <v>0</v>
      </c>
    </row>
    <row r="278" spans="1:19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 s="6">
        <v>1201.1400000000001</v>
      </c>
      <c r="O278">
        <v>2025</v>
      </c>
      <c r="P278" s="3" t="s">
        <v>4297</v>
      </c>
      <c r="Q278">
        <v>1</v>
      </c>
      <c r="R278" t="str">
        <f>IF(Table1_2[[#This Row],[Total Price]]&gt;3330.41,"OUTLIER","NORMAL")</f>
        <v>NORMAL</v>
      </c>
      <c r="S278" s="5">
        <v>0</v>
      </c>
    </row>
    <row r="279" spans="1:19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 s="6">
        <v>454.6</v>
      </c>
      <c r="O279">
        <v>2024</v>
      </c>
      <c r="P279" s="3" t="s">
        <v>4299</v>
      </c>
      <c r="Q279">
        <v>3</v>
      </c>
      <c r="R279" t="str">
        <f>IF(Table1_2[[#This Row],[Total Price]]&gt;3330.41,"OUTLIER","NORMAL")</f>
        <v>NORMAL</v>
      </c>
      <c r="S279" s="5">
        <v>0</v>
      </c>
    </row>
    <row r="280" spans="1:19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 s="6">
        <v>1812.3</v>
      </c>
      <c r="O280">
        <v>2024</v>
      </c>
      <c r="P280" s="3" t="s">
        <v>4295</v>
      </c>
      <c r="Q280">
        <v>4</v>
      </c>
      <c r="R280" t="str">
        <f>IF(Table1_2[[#This Row],[Total Price]]&gt;3330.41,"OUTLIER","NORMAL")</f>
        <v>NORMAL</v>
      </c>
      <c r="S280" s="5">
        <v>0</v>
      </c>
    </row>
    <row r="281" spans="1:19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 s="6">
        <v>165.03</v>
      </c>
      <c r="O281">
        <v>2023</v>
      </c>
      <c r="P281" s="3" t="s">
        <v>4290</v>
      </c>
      <c r="Q281">
        <v>4</v>
      </c>
      <c r="R281" t="str">
        <f>IF(Table1_2[[#This Row],[Total Price]]&gt;3330.41,"OUTLIER","NORMAL")</f>
        <v>NORMAL</v>
      </c>
      <c r="S281" s="5">
        <v>0</v>
      </c>
    </row>
    <row r="282" spans="1:19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 s="6">
        <v>1213.8599999999999</v>
      </c>
      <c r="O282">
        <v>2023</v>
      </c>
      <c r="P282" s="3" t="s">
        <v>4297</v>
      </c>
      <c r="Q282">
        <v>1</v>
      </c>
      <c r="R282" t="str">
        <f>IF(Table1_2[[#This Row],[Total Price]]&gt;3330.41,"OUTLIER","NORMAL")</f>
        <v>NORMAL</v>
      </c>
      <c r="S282" s="5">
        <v>0</v>
      </c>
    </row>
    <row r="283" spans="1:19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4293</v>
      </c>
      <c r="M283" s="3" t="s">
        <v>4279</v>
      </c>
      <c r="N283" s="6">
        <v>2619.16</v>
      </c>
      <c r="O283">
        <v>2023</v>
      </c>
      <c r="P283" s="3" t="s">
        <v>4298</v>
      </c>
      <c r="Q283">
        <v>3</v>
      </c>
      <c r="R283" t="str">
        <f>IF(Table1_2[[#This Row],[Total Price]]&gt;3330.41,"OUTLIER","NORMAL")</f>
        <v>NORMAL</v>
      </c>
      <c r="S283" s="5">
        <v>0</v>
      </c>
    </row>
    <row r="284" spans="1:19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 s="6">
        <v>2551.16</v>
      </c>
      <c r="O284">
        <v>2025</v>
      </c>
      <c r="P284" s="3" t="s">
        <v>4294</v>
      </c>
      <c r="Q284">
        <v>2</v>
      </c>
      <c r="R284" t="str">
        <f>IF(Table1_2[[#This Row],[Total Price]]&gt;3330.41,"OUTLIER","NORMAL")</f>
        <v>NORMAL</v>
      </c>
      <c r="S284" s="5">
        <v>0</v>
      </c>
    </row>
    <row r="285" spans="1:19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4293</v>
      </c>
      <c r="M285" s="3" t="s">
        <v>4282</v>
      </c>
      <c r="N285" s="6">
        <v>2161.3200000000002</v>
      </c>
      <c r="O285">
        <v>2025</v>
      </c>
      <c r="P285" s="3" t="s">
        <v>4289</v>
      </c>
      <c r="Q285">
        <v>1</v>
      </c>
      <c r="R285" t="str">
        <f>IF(Table1_2[[#This Row],[Total Price]]&gt;3330.41,"OUTLIER","NORMAL")</f>
        <v>NORMAL</v>
      </c>
      <c r="S285" s="5">
        <v>0</v>
      </c>
    </row>
    <row r="286" spans="1:19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 s="6">
        <v>1040.8499999999999</v>
      </c>
      <c r="O286">
        <v>2023</v>
      </c>
      <c r="P286" s="3" t="s">
        <v>4289</v>
      </c>
      <c r="Q286">
        <v>1</v>
      </c>
      <c r="R286" t="str">
        <f>IF(Table1_2[[#This Row],[Total Price]]&gt;3330.41,"OUTLIER","NORMAL")</f>
        <v>NORMAL</v>
      </c>
      <c r="S286" s="5">
        <v>0</v>
      </c>
    </row>
    <row r="287" spans="1:19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4293</v>
      </c>
      <c r="M287" s="3" t="s">
        <v>4282</v>
      </c>
      <c r="N287" s="6">
        <v>338.31</v>
      </c>
      <c r="O287">
        <v>2025</v>
      </c>
      <c r="P287" s="3" t="s">
        <v>4292</v>
      </c>
      <c r="Q287">
        <v>2</v>
      </c>
      <c r="R287" t="str">
        <f>IF(Table1_2[[#This Row],[Total Price]]&gt;3330.41,"OUTLIER","NORMAL")</f>
        <v>NORMAL</v>
      </c>
      <c r="S287" s="5">
        <v>0</v>
      </c>
    </row>
    <row r="288" spans="1:19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 s="6">
        <v>418.35</v>
      </c>
      <c r="O288">
        <v>2025</v>
      </c>
      <c r="P288" s="3" t="s">
        <v>4294</v>
      </c>
      <c r="Q288">
        <v>2</v>
      </c>
      <c r="R288" t="str">
        <f>IF(Table1_2[[#This Row],[Total Price]]&gt;3330.41,"OUTLIER","NORMAL")</f>
        <v>NORMAL</v>
      </c>
      <c r="S288" s="5">
        <v>0</v>
      </c>
    </row>
    <row r="289" spans="1:19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4293</v>
      </c>
      <c r="M289" s="3" t="s">
        <v>4281</v>
      </c>
      <c r="N289" s="6">
        <v>2620.7199999999998</v>
      </c>
      <c r="O289">
        <v>2023</v>
      </c>
      <c r="P289" s="3" t="s">
        <v>4295</v>
      </c>
      <c r="Q289">
        <v>4</v>
      </c>
      <c r="R289" t="str">
        <f>IF(Table1_2[[#This Row],[Total Price]]&gt;3330.41,"OUTLIER","NORMAL")</f>
        <v>NORMAL</v>
      </c>
      <c r="S289" s="5">
        <v>0</v>
      </c>
    </row>
    <row r="290" spans="1:19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 s="6">
        <v>2051</v>
      </c>
      <c r="O290">
        <v>2023</v>
      </c>
      <c r="P290" s="3" t="s">
        <v>4297</v>
      </c>
      <c r="Q290">
        <v>1</v>
      </c>
      <c r="R290" t="str">
        <f>IF(Table1_2[[#This Row],[Total Price]]&gt;3330.41,"OUTLIER","NORMAL")</f>
        <v>NORMAL</v>
      </c>
      <c r="S290" s="5">
        <v>0</v>
      </c>
    </row>
    <row r="291" spans="1:19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 s="6">
        <v>641.96</v>
      </c>
      <c r="O291">
        <v>2023</v>
      </c>
      <c r="P291" s="3" t="s">
        <v>4298</v>
      </c>
      <c r="Q291">
        <v>3</v>
      </c>
      <c r="R291" t="str">
        <f>IF(Table1_2[[#This Row],[Total Price]]&gt;3330.41,"OUTLIER","NORMAL")</f>
        <v>NORMAL</v>
      </c>
      <c r="S291" s="5">
        <v>0</v>
      </c>
    </row>
    <row r="292" spans="1:19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 s="6">
        <v>299.7</v>
      </c>
      <c r="O292">
        <v>2023</v>
      </c>
      <c r="P292" s="3" t="s">
        <v>4291</v>
      </c>
      <c r="Q292">
        <v>2</v>
      </c>
      <c r="R292" t="str">
        <f>IF(Table1_2[[#This Row],[Total Price]]&gt;3330.41,"OUTLIER","NORMAL")</f>
        <v>NORMAL</v>
      </c>
      <c r="S292" s="5">
        <v>0</v>
      </c>
    </row>
    <row r="293" spans="1:19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 s="6">
        <v>690.02</v>
      </c>
      <c r="O293">
        <v>2024</v>
      </c>
      <c r="P293" s="3" t="s">
        <v>4291</v>
      </c>
      <c r="Q293">
        <v>2</v>
      </c>
      <c r="R293" t="str">
        <f>IF(Table1_2[[#This Row],[Total Price]]&gt;3330.41,"OUTLIER","NORMAL")</f>
        <v>NORMAL</v>
      </c>
      <c r="S293" s="5">
        <v>0</v>
      </c>
    </row>
    <row r="294" spans="1:19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4293</v>
      </c>
      <c r="M294" s="3" t="s">
        <v>4281</v>
      </c>
      <c r="N294" s="6">
        <v>65.95</v>
      </c>
      <c r="O294">
        <v>2025</v>
      </c>
      <c r="P294" s="3" t="s">
        <v>4287</v>
      </c>
      <c r="Q294">
        <v>1</v>
      </c>
      <c r="R294" t="str">
        <f>IF(Table1_2[[#This Row],[Total Price]]&gt;3330.41,"OUTLIER","NORMAL")</f>
        <v>NORMAL</v>
      </c>
      <c r="S294" s="5">
        <v>0</v>
      </c>
    </row>
    <row r="295" spans="1:19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4293</v>
      </c>
      <c r="M295" s="3" t="s">
        <v>4278</v>
      </c>
      <c r="N295" s="6">
        <v>1852.16</v>
      </c>
      <c r="O295">
        <v>2023</v>
      </c>
      <c r="P295" s="3" t="s">
        <v>4289</v>
      </c>
      <c r="Q295">
        <v>1</v>
      </c>
      <c r="R295" t="str">
        <f>IF(Table1_2[[#This Row],[Total Price]]&gt;3330.41,"OUTLIER","NORMAL")</f>
        <v>NORMAL</v>
      </c>
      <c r="S295" s="5">
        <v>0</v>
      </c>
    </row>
    <row r="296" spans="1:19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 s="6">
        <v>595.41999999999996</v>
      </c>
      <c r="O296">
        <v>2025</v>
      </c>
      <c r="P296" s="3" t="s">
        <v>4294</v>
      </c>
      <c r="Q296">
        <v>2</v>
      </c>
      <c r="R296" t="str">
        <f>IF(Table1_2[[#This Row],[Total Price]]&gt;3330.41,"OUTLIER","NORMAL")</f>
        <v>NORMAL</v>
      </c>
      <c r="S296" s="5">
        <v>0</v>
      </c>
    </row>
    <row r="297" spans="1:19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 s="6">
        <v>537.4</v>
      </c>
      <c r="O297">
        <v>2023</v>
      </c>
      <c r="P297" s="3" t="s">
        <v>4287</v>
      </c>
      <c r="Q297">
        <v>1</v>
      </c>
      <c r="R297" t="str">
        <f>IF(Table1_2[[#This Row],[Total Price]]&gt;3330.41,"OUTLIER","NORMAL")</f>
        <v>NORMAL</v>
      </c>
      <c r="S297" s="5">
        <v>0</v>
      </c>
    </row>
    <row r="298" spans="1:19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 s="6">
        <v>3194</v>
      </c>
      <c r="O298">
        <v>2024</v>
      </c>
      <c r="P298" s="3" t="s">
        <v>4292</v>
      </c>
      <c r="Q298">
        <v>2</v>
      </c>
      <c r="R298" t="str">
        <f>IF(Table1_2[[#This Row],[Total Price]]&gt;3330.41,"OUTLIER","NORMAL")</f>
        <v>NORMAL</v>
      </c>
      <c r="S298" s="5">
        <v>0</v>
      </c>
    </row>
    <row r="299" spans="1:19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 s="6">
        <v>987.76</v>
      </c>
      <c r="O299">
        <v>2023</v>
      </c>
      <c r="P299" s="3" t="s">
        <v>4289</v>
      </c>
      <c r="Q299">
        <v>1</v>
      </c>
      <c r="R299" t="str">
        <f>IF(Table1_2[[#This Row],[Total Price]]&gt;3330.41,"OUTLIER","NORMAL")</f>
        <v>NORMAL</v>
      </c>
      <c r="S299" s="5">
        <v>0</v>
      </c>
    </row>
    <row r="300" spans="1:19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4293</v>
      </c>
      <c r="M300" s="3" t="s">
        <v>4280</v>
      </c>
      <c r="N300" s="6">
        <v>1204.68</v>
      </c>
      <c r="O300">
        <v>2023</v>
      </c>
      <c r="P300" s="3" t="s">
        <v>4296</v>
      </c>
      <c r="Q300">
        <v>4</v>
      </c>
      <c r="R300" t="str">
        <f>IF(Table1_2[[#This Row],[Total Price]]&gt;3330.41,"OUTLIER","NORMAL")</f>
        <v>NORMAL</v>
      </c>
      <c r="S300" s="5">
        <v>0</v>
      </c>
    </row>
    <row r="301" spans="1:19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 s="6">
        <v>278.66000000000003</v>
      </c>
      <c r="O301">
        <v>2024</v>
      </c>
      <c r="P301" s="3" t="s">
        <v>4287</v>
      </c>
      <c r="Q301">
        <v>1</v>
      </c>
      <c r="R301" t="str">
        <f>IF(Table1_2[[#This Row],[Total Price]]&gt;3330.41,"OUTLIER","NORMAL")</f>
        <v>NORMAL</v>
      </c>
      <c r="S301" s="5">
        <v>0</v>
      </c>
    </row>
    <row r="302" spans="1:19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 s="6">
        <v>287.45999999999998</v>
      </c>
      <c r="O302">
        <v>2024</v>
      </c>
      <c r="P302" s="3" t="s">
        <v>4299</v>
      </c>
      <c r="Q302">
        <v>3</v>
      </c>
      <c r="R302" t="str">
        <f>IF(Table1_2[[#This Row],[Total Price]]&gt;3330.41,"OUTLIER","NORMAL")</f>
        <v>NORMAL</v>
      </c>
      <c r="S302" s="5">
        <v>0</v>
      </c>
    </row>
    <row r="303" spans="1:19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 s="6">
        <v>583.99</v>
      </c>
      <c r="O303">
        <v>2023</v>
      </c>
      <c r="P303" s="3" t="s">
        <v>4291</v>
      </c>
      <c r="Q303">
        <v>2</v>
      </c>
      <c r="R303" t="str">
        <f>IF(Table1_2[[#This Row],[Total Price]]&gt;3330.41,"OUTLIER","NORMAL")</f>
        <v>NORMAL</v>
      </c>
      <c r="S303" s="5">
        <v>0</v>
      </c>
    </row>
    <row r="304" spans="1:19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 s="6">
        <v>1406.22</v>
      </c>
      <c r="O304">
        <v>2023</v>
      </c>
      <c r="P304" s="3" t="s">
        <v>4291</v>
      </c>
      <c r="Q304">
        <v>2</v>
      </c>
      <c r="R304" t="str">
        <f>IF(Table1_2[[#This Row],[Total Price]]&gt;3330.41,"OUTLIER","NORMAL")</f>
        <v>NORMAL</v>
      </c>
      <c r="S304" s="5">
        <v>0</v>
      </c>
    </row>
    <row r="305" spans="1:19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4293</v>
      </c>
      <c r="M305" s="3" t="s">
        <v>4282</v>
      </c>
      <c r="N305" s="6">
        <v>30.54</v>
      </c>
      <c r="O305">
        <v>2024</v>
      </c>
      <c r="P305" s="3" t="s">
        <v>4296</v>
      </c>
      <c r="Q305">
        <v>4</v>
      </c>
      <c r="R305" t="str">
        <f>IF(Table1_2[[#This Row],[Total Price]]&gt;3330.41,"OUTLIER","NORMAL")</f>
        <v>NORMAL</v>
      </c>
      <c r="S305" s="5">
        <v>0</v>
      </c>
    </row>
    <row r="306" spans="1:19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 s="6">
        <v>2043.65</v>
      </c>
      <c r="O306">
        <v>2024</v>
      </c>
      <c r="P306" s="3" t="s">
        <v>4290</v>
      </c>
      <c r="Q306">
        <v>4</v>
      </c>
      <c r="R306" t="str">
        <f>IF(Table1_2[[#This Row],[Total Price]]&gt;3330.41,"OUTLIER","NORMAL")</f>
        <v>NORMAL</v>
      </c>
      <c r="S306" s="5">
        <v>0</v>
      </c>
    </row>
    <row r="307" spans="1:19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 s="6">
        <v>507.56</v>
      </c>
      <c r="O307">
        <v>2023</v>
      </c>
      <c r="P307" s="3" t="s">
        <v>4295</v>
      </c>
      <c r="Q307">
        <v>4</v>
      </c>
      <c r="R307" t="str">
        <f>IF(Table1_2[[#This Row],[Total Price]]&gt;3330.41,"OUTLIER","NORMAL")</f>
        <v>NORMAL</v>
      </c>
      <c r="S307" s="5">
        <v>0</v>
      </c>
    </row>
    <row r="308" spans="1:19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 s="6">
        <v>114.14</v>
      </c>
      <c r="O308">
        <v>2024</v>
      </c>
      <c r="P308" s="3" t="s">
        <v>4292</v>
      </c>
      <c r="Q308">
        <v>2</v>
      </c>
      <c r="R308" t="str">
        <f>IF(Table1_2[[#This Row],[Total Price]]&gt;3330.41,"OUTLIER","NORMAL")</f>
        <v>NORMAL</v>
      </c>
      <c r="S308" s="5">
        <v>0</v>
      </c>
    </row>
    <row r="309" spans="1:19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4293</v>
      </c>
      <c r="M309" s="3" t="s">
        <v>4280</v>
      </c>
      <c r="N309" s="6">
        <v>1672.23</v>
      </c>
      <c r="O309">
        <v>2023</v>
      </c>
      <c r="P309" s="3" t="s">
        <v>4298</v>
      </c>
      <c r="Q309">
        <v>3</v>
      </c>
      <c r="R309" t="str">
        <f>IF(Table1_2[[#This Row],[Total Price]]&gt;3330.41,"OUTLIER","NORMAL")</f>
        <v>NORMAL</v>
      </c>
      <c r="S309" s="5">
        <v>0</v>
      </c>
    </row>
    <row r="310" spans="1:19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 s="6">
        <v>1346.7</v>
      </c>
      <c r="O310">
        <v>2023</v>
      </c>
      <c r="P310" s="3" t="s">
        <v>4296</v>
      </c>
      <c r="Q310">
        <v>4</v>
      </c>
      <c r="R310" t="str">
        <f>IF(Table1_2[[#This Row],[Total Price]]&gt;3330.41,"OUTLIER","NORMAL")</f>
        <v>NORMAL</v>
      </c>
      <c r="S310" s="5">
        <v>0</v>
      </c>
    </row>
    <row r="311" spans="1:19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 s="6">
        <v>2199.04</v>
      </c>
      <c r="O311">
        <v>2023</v>
      </c>
      <c r="P311" s="3" t="s">
        <v>4290</v>
      </c>
      <c r="Q311">
        <v>4</v>
      </c>
      <c r="R311" t="str">
        <f>IF(Table1_2[[#This Row],[Total Price]]&gt;3330.41,"OUTLIER","NORMAL")</f>
        <v>NORMAL</v>
      </c>
      <c r="S311" s="5">
        <v>0</v>
      </c>
    </row>
    <row r="312" spans="1:19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4293</v>
      </c>
      <c r="M312" s="3" t="s">
        <v>4279</v>
      </c>
      <c r="N312" s="6">
        <v>397.43999999999988</v>
      </c>
      <c r="O312">
        <v>2024</v>
      </c>
      <c r="P312" s="3" t="s">
        <v>4289</v>
      </c>
      <c r="Q312">
        <v>1</v>
      </c>
      <c r="R312" t="str">
        <f>IF(Table1_2[[#This Row],[Total Price]]&gt;3330.41,"OUTLIER","NORMAL")</f>
        <v>NORMAL</v>
      </c>
      <c r="S312" s="5">
        <v>0</v>
      </c>
    </row>
    <row r="313" spans="1:19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4293</v>
      </c>
      <c r="M313" s="3" t="s">
        <v>4278</v>
      </c>
      <c r="N313" s="6">
        <v>2446.85</v>
      </c>
      <c r="O313">
        <v>2025</v>
      </c>
      <c r="P313" s="3" t="s">
        <v>4291</v>
      </c>
      <c r="Q313">
        <v>2</v>
      </c>
      <c r="R313" t="str">
        <f>IF(Table1_2[[#This Row],[Total Price]]&gt;3330.41,"OUTLIER","NORMAL")</f>
        <v>NORMAL</v>
      </c>
      <c r="S313" s="5">
        <v>0</v>
      </c>
    </row>
    <row r="314" spans="1:19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 s="6">
        <v>331.55</v>
      </c>
      <c r="O314">
        <v>2025</v>
      </c>
      <c r="P314" s="3" t="s">
        <v>4291</v>
      </c>
      <c r="Q314">
        <v>2</v>
      </c>
      <c r="R314" t="str">
        <f>IF(Table1_2[[#This Row],[Total Price]]&gt;3330.41,"OUTLIER","NORMAL")</f>
        <v>NORMAL</v>
      </c>
      <c r="S314" s="5">
        <v>0</v>
      </c>
    </row>
    <row r="315" spans="1:19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 s="6">
        <v>868.6</v>
      </c>
      <c r="O315">
        <v>2023</v>
      </c>
      <c r="P315" s="3" t="s">
        <v>4298</v>
      </c>
      <c r="Q315">
        <v>3</v>
      </c>
      <c r="R315" t="str">
        <f>IF(Table1_2[[#This Row],[Total Price]]&gt;3330.41,"OUTLIER","NORMAL")</f>
        <v>NORMAL</v>
      </c>
      <c r="S315" s="5">
        <v>0</v>
      </c>
    </row>
    <row r="316" spans="1:19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 s="6">
        <v>612.36</v>
      </c>
      <c r="O316">
        <v>2023</v>
      </c>
      <c r="P316" s="3" t="s">
        <v>4290</v>
      </c>
      <c r="Q316">
        <v>4</v>
      </c>
      <c r="R316" t="str">
        <f>IF(Table1_2[[#This Row],[Total Price]]&gt;3330.41,"OUTLIER","NORMAL")</f>
        <v>NORMAL</v>
      </c>
      <c r="S316" s="5">
        <v>0</v>
      </c>
    </row>
    <row r="317" spans="1:19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 s="6">
        <v>458.35</v>
      </c>
      <c r="O317">
        <v>2025</v>
      </c>
      <c r="P317" s="3" t="s">
        <v>4291</v>
      </c>
      <c r="Q317">
        <v>2</v>
      </c>
      <c r="R317" t="str">
        <f>IF(Table1_2[[#This Row],[Total Price]]&gt;3330.41,"OUTLIER","NORMAL")</f>
        <v>NORMAL</v>
      </c>
      <c r="S317" s="5">
        <v>0</v>
      </c>
    </row>
    <row r="318" spans="1:19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 s="6">
        <v>1101.1199999999999</v>
      </c>
      <c r="O318">
        <v>2023</v>
      </c>
      <c r="P318" s="3" t="s">
        <v>4290</v>
      </c>
      <c r="Q318">
        <v>4</v>
      </c>
      <c r="R318" t="str">
        <f>IF(Table1_2[[#This Row],[Total Price]]&gt;3330.41,"OUTLIER","NORMAL")</f>
        <v>NORMAL</v>
      </c>
      <c r="S318" s="5">
        <v>0</v>
      </c>
    </row>
    <row r="319" spans="1:19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4293</v>
      </c>
      <c r="M319" s="3" t="s">
        <v>4278</v>
      </c>
      <c r="N319" s="6">
        <v>279.89999999999998</v>
      </c>
      <c r="O319">
        <v>2023</v>
      </c>
      <c r="P319" s="3" t="s">
        <v>4294</v>
      </c>
      <c r="Q319">
        <v>2</v>
      </c>
      <c r="R319" t="str">
        <f>IF(Table1_2[[#This Row],[Total Price]]&gt;3330.41,"OUTLIER","NORMAL")</f>
        <v>NORMAL</v>
      </c>
      <c r="S319" s="5">
        <v>0</v>
      </c>
    </row>
    <row r="320" spans="1:19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 s="6">
        <v>446.16</v>
      </c>
      <c r="O320">
        <v>2024</v>
      </c>
      <c r="P320" s="3" t="s">
        <v>4298</v>
      </c>
      <c r="Q320">
        <v>3</v>
      </c>
      <c r="R320" t="str">
        <f>IF(Table1_2[[#This Row],[Total Price]]&gt;3330.41,"OUTLIER","NORMAL")</f>
        <v>NORMAL</v>
      </c>
      <c r="S320" s="5">
        <v>0</v>
      </c>
    </row>
    <row r="321" spans="1:19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4293</v>
      </c>
      <c r="M321" s="3" t="s">
        <v>4278</v>
      </c>
      <c r="N321" s="6">
        <v>1126.1199999999999</v>
      </c>
      <c r="O321">
        <v>2023</v>
      </c>
      <c r="P321" s="3" t="s">
        <v>4296</v>
      </c>
      <c r="Q321">
        <v>4</v>
      </c>
      <c r="R321" t="str">
        <f>IF(Table1_2[[#This Row],[Total Price]]&gt;3330.41,"OUTLIER","NORMAL")</f>
        <v>NORMAL</v>
      </c>
      <c r="S321" s="5">
        <v>0</v>
      </c>
    </row>
    <row r="322" spans="1:19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 s="6">
        <v>625.51</v>
      </c>
      <c r="O322">
        <v>2024</v>
      </c>
      <c r="P322" s="3" t="s">
        <v>4296</v>
      </c>
      <c r="Q322">
        <v>4</v>
      </c>
      <c r="R322" t="str">
        <f>IF(Table1_2[[#This Row],[Total Price]]&gt;3330.41,"OUTLIER","NORMAL")</f>
        <v>NORMAL</v>
      </c>
      <c r="S322" s="5">
        <v>0</v>
      </c>
    </row>
    <row r="323" spans="1:19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 s="6">
        <v>609.16</v>
      </c>
      <c r="O323">
        <v>2023</v>
      </c>
      <c r="P323" s="3" t="s">
        <v>4288</v>
      </c>
      <c r="Q323">
        <v>3</v>
      </c>
      <c r="R323" t="str">
        <f>IF(Table1_2[[#This Row],[Total Price]]&gt;3330.41,"OUTLIER","NORMAL")</f>
        <v>NORMAL</v>
      </c>
      <c r="S323" s="5">
        <v>0</v>
      </c>
    </row>
    <row r="324" spans="1:19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 s="6">
        <v>1159.0999999999999</v>
      </c>
      <c r="O324">
        <v>2024</v>
      </c>
      <c r="P324" s="3" t="s">
        <v>4292</v>
      </c>
      <c r="Q324">
        <v>2</v>
      </c>
      <c r="R324" t="str">
        <f>IF(Table1_2[[#This Row],[Total Price]]&gt;3330.41,"OUTLIER","NORMAL")</f>
        <v>NORMAL</v>
      </c>
      <c r="S324" s="5">
        <v>0</v>
      </c>
    </row>
    <row r="325" spans="1:19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 s="6">
        <v>150.16999999999999</v>
      </c>
      <c r="O325">
        <v>2025</v>
      </c>
      <c r="P325" s="3" t="s">
        <v>4287</v>
      </c>
      <c r="Q325">
        <v>1</v>
      </c>
      <c r="R325" t="str">
        <f>IF(Table1_2[[#This Row],[Total Price]]&gt;3330.41,"OUTLIER","NORMAL")</f>
        <v>NORMAL</v>
      </c>
      <c r="S325" s="5">
        <v>0</v>
      </c>
    </row>
    <row r="326" spans="1:19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4293</v>
      </c>
      <c r="M326" s="3" t="s">
        <v>4279</v>
      </c>
      <c r="N326" s="6">
        <v>212.79</v>
      </c>
      <c r="O326">
        <v>2024</v>
      </c>
      <c r="P326" s="3" t="s">
        <v>4292</v>
      </c>
      <c r="Q326">
        <v>2</v>
      </c>
      <c r="R326" t="str">
        <f>IF(Table1_2[[#This Row],[Total Price]]&gt;3330.41,"OUTLIER","NORMAL")</f>
        <v>NORMAL</v>
      </c>
      <c r="S326" s="5">
        <v>0</v>
      </c>
    </row>
    <row r="327" spans="1:19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4293</v>
      </c>
      <c r="M327" s="3" t="s">
        <v>4279</v>
      </c>
      <c r="N327" s="6">
        <v>1084.17</v>
      </c>
      <c r="O327">
        <v>2023</v>
      </c>
      <c r="P327" s="3" t="s">
        <v>4292</v>
      </c>
      <c r="Q327">
        <v>2</v>
      </c>
      <c r="R327" t="str">
        <f>IF(Table1_2[[#This Row],[Total Price]]&gt;3330.41,"OUTLIER","NORMAL")</f>
        <v>NORMAL</v>
      </c>
      <c r="S327" s="5">
        <v>0</v>
      </c>
    </row>
    <row r="328" spans="1:19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 s="6">
        <v>3352.4</v>
      </c>
      <c r="O328">
        <v>2024</v>
      </c>
      <c r="P328" s="3" t="s">
        <v>4298</v>
      </c>
      <c r="Q328">
        <v>3</v>
      </c>
      <c r="R328" t="str">
        <f>IF(Table1_2[[#This Row],[Total Price]]&gt;3330.41,"OUTLIER","NORMAL")</f>
        <v>OUTLIER</v>
      </c>
      <c r="S328" s="5">
        <v>0</v>
      </c>
    </row>
    <row r="329" spans="1:19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 s="6">
        <v>359.99</v>
      </c>
      <c r="O329">
        <v>2023</v>
      </c>
      <c r="P329" s="3" t="s">
        <v>4298</v>
      </c>
      <c r="Q329">
        <v>3</v>
      </c>
      <c r="R329" t="str">
        <f>IF(Table1_2[[#This Row],[Total Price]]&gt;3330.41,"OUTLIER","NORMAL")</f>
        <v>NORMAL</v>
      </c>
      <c r="S329" s="5">
        <v>0</v>
      </c>
    </row>
    <row r="330" spans="1:19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 s="6">
        <v>3370.2</v>
      </c>
      <c r="O330">
        <v>2023</v>
      </c>
      <c r="P330" s="3" t="s">
        <v>4289</v>
      </c>
      <c r="Q330">
        <v>1</v>
      </c>
      <c r="R330" t="str">
        <f>IF(Table1_2[[#This Row],[Total Price]]&gt;3330.41,"OUTLIER","NORMAL")</f>
        <v>OUTLIER</v>
      </c>
      <c r="S330" s="5">
        <v>0</v>
      </c>
    </row>
    <row r="331" spans="1:19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4293</v>
      </c>
      <c r="M331" s="3" t="s">
        <v>4282</v>
      </c>
      <c r="N331" s="6">
        <v>1132.6400000000001</v>
      </c>
      <c r="O331">
        <v>2024</v>
      </c>
      <c r="P331" s="3" t="s">
        <v>4296</v>
      </c>
      <c r="Q331">
        <v>4</v>
      </c>
      <c r="R331" t="str">
        <f>IF(Table1_2[[#This Row],[Total Price]]&gt;3330.41,"OUTLIER","NORMAL")</f>
        <v>NORMAL</v>
      </c>
      <c r="S331" s="5">
        <v>0</v>
      </c>
    </row>
    <row r="332" spans="1:19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 s="6">
        <v>1302.6500000000001</v>
      </c>
      <c r="O332">
        <v>2024</v>
      </c>
      <c r="P332" s="3" t="s">
        <v>4292</v>
      </c>
      <c r="Q332">
        <v>2</v>
      </c>
      <c r="R332" t="str">
        <f>IF(Table1_2[[#This Row],[Total Price]]&gt;3330.41,"OUTLIER","NORMAL")</f>
        <v>NORMAL</v>
      </c>
      <c r="S332" s="5">
        <v>0</v>
      </c>
    </row>
    <row r="333" spans="1:19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 s="6">
        <v>1266.3900000000001</v>
      </c>
      <c r="O333">
        <v>2023</v>
      </c>
      <c r="P333" s="3" t="s">
        <v>4294</v>
      </c>
      <c r="Q333">
        <v>2</v>
      </c>
      <c r="R333" t="str">
        <f>IF(Table1_2[[#This Row],[Total Price]]&gt;3330.41,"OUTLIER","NORMAL")</f>
        <v>NORMAL</v>
      </c>
      <c r="S333" s="5">
        <v>0</v>
      </c>
    </row>
    <row r="334" spans="1:19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 s="6">
        <v>625.1</v>
      </c>
      <c r="O334">
        <v>2024</v>
      </c>
      <c r="P334" s="3" t="s">
        <v>4298</v>
      </c>
      <c r="Q334">
        <v>3</v>
      </c>
      <c r="R334" t="str">
        <f>IF(Table1_2[[#This Row],[Total Price]]&gt;3330.41,"OUTLIER","NORMAL")</f>
        <v>NORMAL</v>
      </c>
      <c r="S334" s="5">
        <v>0</v>
      </c>
    </row>
    <row r="335" spans="1:19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 s="6">
        <v>198.51</v>
      </c>
      <c r="O335">
        <v>2024</v>
      </c>
      <c r="P335" s="3" t="s">
        <v>4294</v>
      </c>
      <c r="Q335">
        <v>2</v>
      </c>
      <c r="R335" t="str">
        <f>IF(Table1_2[[#This Row],[Total Price]]&gt;3330.41,"OUTLIER","NORMAL")</f>
        <v>NORMAL</v>
      </c>
      <c r="S335" s="5">
        <v>0</v>
      </c>
    </row>
    <row r="336" spans="1:19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 s="6">
        <v>899</v>
      </c>
      <c r="O336">
        <v>2024</v>
      </c>
      <c r="P336" s="3" t="s">
        <v>4297</v>
      </c>
      <c r="Q336">
        <v>1</v>
      </c>
      <c r="R336" t="str">
        <f>IF(Table1_2[[#This Row],[Total Price]]&gt;3330.41,"OUTLIER","NORMAL")</f>
        <v>NORMAL</v>
      </c>
      <c r="S336" s="5">
        <v>0</v>
      </c>
    </row>
    <row r="337" spans="1:19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4293</v>
      </c>
      <c r="M337" s="3" t="s">
        <v>4280</v>
      </c>
      <c r="N337" s="6">
        <v>617.58000000000004</v>
      </c>
      <c r="O337">
        <v>2025</v>
      </c>
      <c r="P337" s="3" t="s">
        <v>4297</v>
      </c>
      <c r="Q337">
        <v>1</v>
      </c>
      <c r="R337" t="str">
        <f>IF(Table1_2[[#This Row],[Total Price]]&gt;3330.41,"OUTLIER","NORMAL")</f>
        <v>NORMAL</v>
      </c>
      <c r="S337" s="5">
        <v>0</v>
      </c>
    </row>
    <row r="338" spans="1:19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 s="6">
        <v>18.2</v>
      </c>
      <c r="O338">
        <v>2023</v>
      </c>
      <c r="P338" s="3" t="s">
        <v>4296</v>
      </c>
      <c r="Q338">
        <v>4</v>
      </c>
      <c r="R338" t="str">
        <f>IF(Table1_2[[#This Row],[Total Price]]&gt;3330.41,"OUTLIER","NORMAL")</f>
        <v>NORMAL</v>
      </c>
      <c r="S338" s="5">
        <v>0</v>
      </c>
    </row>
    <row r="339" spans="1:19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 s="6">
        <v>1508.31</v>
      </c>
      <c r="O339">
        <v>2023</v>
      </c>
      <c r="P339" s="3" t="s">
        <v>4291</v>
      </c>
      <c r="Q339">
        <v>2</v>
      </c>
      <c r="R339" t="str">
        <f>IF(Table1_2[[#This Row],[Total Price]]&gt;3330.41,"OUTLIER","NORMAL")</f>
        <v>NORMAL</v>
      </c>
      <c r="S339" s="5">
        <v>0</v>
      </c>
    </row>
    <row r="340" spans="1:19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4293</v>
      </c>
      <c r="M340" s="3" t="s">
        <v>4279</v>
      </c>
      <c r="N340" s="6">
        <v>1527.45</v>
      </c>
      <c r="O340">
        <v>2023</v>
      </c>
      <c r="P340" s="3" t="s">
        <v>4295</v>
      </c>
      <c r="Q340">
        <v>4</v>
      </c>
      <c r="R340" t="str">
        <f>IF(Table1_2[[#This Row],[Total Price]]&gt;3330.41,"OUTLIER","NORMAL")</f>
        <v>NORMAL</v>
      </c>
      <c r="S340" s="5">
        <v>0</v>
      </c>
    </row>
    <row r="341" spans="1:19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 s="6">
        <v>472.66</v>
      </c>
      <c r="O341">
        <v>2024</v>
      </c>
      <c r="P341" s="3" t="s">
        <v>4294</v>
      </c>
      <c r="Q341">
        <v>2</v>
      </c>
      <c r="R341" t="str">
        <f>IF(Table1_2[[#This Row],[Total Price]]&gt;3330.41,"OUTLIER","NORMAL")</f>
        <v>NORMAL</v>
      </c>
      <c r="S341" s="5">
        <v>0</v>
      </c>
    </row>
    <row r="342" spans="1:19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4293</v>
      </c>
      <c r="M342" s="3" t="s">
        <v>4280</v>
      </c>
      <c r="N342" s="6">
        <v>2606.25</v>
      </c>
      <c r="O342">
        <v>2023</v>
      </c>
      <c r="P342" s="3" t="s">
        <v>4294</v>
      </c>
      <c r="Q342">
        <v>2</v>
      </c>
      <c r="R342" t="str">
        <f>IF(Table1_2[[#This Row],[Total Price]]&gt;3330.41,"OUTLIER","NORMAL")</f>
        <v>NORMAL</v>
      </c>
      <c r="S342" s="5">
        <v>0</v>
      </c>
    </row>
    <row r="343" spans="1:19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 s="6">
        <v>167.15</v>
      </c>
      <c r="O343">
        <v>2024</v>
      </c>
      <c r="P343" s="3" t="s">
        <v>4299</v>
      </c>
      <c r="Q343">
        <v>3</v>
      </c>
      <c r="R343" t="str">
        <f>IF(Table1_2[[#This Row],[Total Price]]&gt;3330.41,"OUTLIER","NORMAL")</f>
        <v>NORMAL</v>
      </c>
      <c r="S343" s="5">
        <v>0</v>
      </c>
    </row>
    <row r="344" spans="1:19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4293</v>
      </c>
      <c r="M344" s="3" t="s">
        <v>4279</v>
      </c>
      <c r="N344" s="6">
        <v>2332.1</v>
      </c>
      <c r="O344">
        <v>2025</v>
      </c>
      <c r="P344" s="3" t="s">
        <v>4292</v>
      </c>
      <c r="Q344">
        <v>2</v>
      </c>
      <c r="R344" t="str">
        <f>IF(Table1_2[[#This Row],[Total Price]]&gt;3330.41,"OUTLIER","NORMAL")</f>
        <v>NORMAL</v>
      </c>
      <c r="S344" s="5">
        <v>0</v>
      </c>
    </row>
    <row r="345" spans="1:19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 s="6">
        <v>527.57000000000005</v>
      </c>
      <c r="O345">
        <v>2023</v>
      </c>
      <c r="P345" s="3" t="s">
        <v>4289</v>
      </c>
      <c r="Q345">
        <v>1</v>
      </c>
      <c r="R345" t="str">
        <f>IF(Table1_2[[#This Row],[Total Price]]&gt;3330.41,"OUTLIER","NORMAL")</f>
        <v>NORMAL</v>
      </c>
      <c r="S345" s="5">
        <v>0</v>
      </c>
    </row>
    <row r="346" spans="1:19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 s="6">
        <v>1870.02</v>
      </c>
      <c r="O346">
        <v>2025</v>
      </c>
      <c r="P346" s="3" t="s">
        <v>4297</v>
      </c>
      <c r="Q346">
        <v>1</v>
      </c>
      <c r="R346" t="str">
        <f>IF(Table1_2[[#This Row],[Total Price]]&gt;3330.41,"OUTLIER","NORMAL")</f>
        <v>NORMAL</v>
      </c>
      <c r="S346" s="5">
        <v>0</v>
      </c>
    </row>
    <row r="347" spans="1:19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 s="6">
        <v>2506.3000000000002</v>
      </c>
      <c r="O347">
        <v>2023</v>
      </c>
      <c r="P347" s="3" t="s">
        <v>4296</v>
      </c>
      <c r="Q347">
        <v>4</v>
      </c>
      <c r="R347" t="str">
        <f>IF(Table1_2[[#This Row],[Total Price]]&gt;3330.41,"OUTLIER","NORMAL")</f>
        <v>NORMAL</v>
      </c>
      <c r="S347" s="5">
        <v>0</v>
      </c>
    </row>
    <row r="348" spans="1:19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4293</v>
      </c>
      <c r="M348" s="3" t="s">
        <v>4279</v>
      </c>
      <c r="N348" s="6">
        <v>655.09</v>
      </c>
      <c r="O348">
        <v>2024</v>
      </c>
      <c r="P348" s="3" t="s">
        <v>4296</v>
      </c>
      <c r="Q348">
        <v>4</v>
      </c>
      <c r="R348" t="str">
        <f>IF(Table1_2[[#This Row],[Total Price]]&gt;3330.41,"OUTLIER","NORMAL")</f>
        <v>NORMAL</v>
      </c>
      <c r="S348" s="5">
        <v>0</v>
      </c>
    </row>
    <row r="349" spans="1:19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 s="6">
        <v>1059.1600000000001</v>
      </c>
      <c r="O349">
        <v>2024</v>
      </c>
      <c r="P349" s="3" t="s">
        <v>4289</v>
      </c>
      <c r="Q349">
        <v>1</v>
      </c>
      <c r="R349" t="str">
        <f>IF(Table1_2[[#This Row],[Total Price]]&gt;3330.41,"OUTLIER","NORMAL")</f>
        <v>NORMAL</v>
      </c>
      <c r="S349" s="5">
        <v>0</v>
      </c>
    </row>
    <row r="350" spans="1:19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 s="6">
        <v>1079.19</v>
      </c>
      <c r="O350">
        <v>2024</v>
      </c>
      <c r="P350" s="3" t="s">
        <v>4297</v>
      </c>
      <c r="Q350">
        <v>1</v>
      </c>
      <c r="R350" t="str">
        <f>IF(Table1_2[[#This Row],[Total Price]]&gt;3330.41,"OUTLIER","NORMAL")</f>
        <v>NORMAL</v>
      </c>
      <c r="S350" s="5">
        <v>0</v>
      </c>
    </row>
    <row r="351" spans="1:19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 s="6">
        <v>465.33</v>
      </c>
      <c r="O351">
        <v>2023</v>
      </c>
      <c r="P351" s="3" t="s">
        <v>4295</v>
      </c>
      <c r="Q351">
        <v>4</v>
      </c>
      <c r="R351" t="str">
        <f>IF(Table1_2[[#This Row],[Total Price]]&gt;3330.41,"OUTLIER","NORMAL")</f>
        <v>NORMAL</v>
      </c>
      <c r="S351" s="5">
        <v>0</v>
      </c>
    </row>
    <row r="352" spans="1:19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4293</v>
      </c>
      <c r="M352" s="3" t="s">
        <v>4278</v>
      </c>
      <c r="N352" s="6">
        <v>108.82</v>
      </c>
      <c r="O352">
        <v>2023</v>
      </c>
      <c r="P352" s="3" t="s">
        <v>4292</v>
      </c>
      <c r="Q352">
        <v>2</v>
      </c>
      <c r="R352" t="str">
        <f>IF(Table1_2[[#This Row],[Total Price]]&gt;3330.41,"OUTLIER","NORMAL")</f>
        <v>NORMAL</v>
      </c>
      <c r="S352" s="5">
        <v>0</v>
      </c>
    </row>
    <row r="353" spans="1:19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4293</v>
      </c>
      <c r="M353" s="3" t="s">
        <v>4278</v>
      </c>
      <c r="N353" s="6">
        <v>64.66</v>
      </c>
      <c r="O353">
        <v>2025</v>
      </c>
      <c r="P353" s="3" t="s">
        <v>4289</v>
      </c>
      <c r="Q353">
        <v>1</v>
      </c>
      <c r="R353" t="str">
        <f>IF(Table1_2[[#This Row],[Total Price]]&gt;3330.41,"OUTLIER","NORMAL")</f>
        <v>NORMAL</v>
      </c>
      <c r="S353" s="5">
        <v>0</v>
      </c>
    </row>
    <row r="354" spans="1:19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 s="6">
        <v>869.80000000000007</v>
      </c>
      <c r="O354">
        <v>2023</v>
      </c>
      <c r="P354" s="3" t="s">
        <v>4288</v>
      </c>
      <c r="Q354">
        <v>3</v>
      </c>
      <c r="R354" t="str">
        <f>IF(Table1_2[[#This Row],[Total Price]]&gt;3330.41,"OUTLIER","NORMAL")</f>
        <v>NORMAL</v>
      </c>
      <c r="S354" s="5">
        <v>0</v>
      </c>
    </row>
    <row r="355" spans="1:19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 s="6">
        <v>630.82000000000005</v>
      </c>
      <c r="O355">
        <v>2025</v>
      </c>
      <c r="P355" s="3" t="s">
        <v>4297</v>
      </c>
      <c r="Q355">
        <v>1</v>
      </c>
      <c r="R355" t="str">
        <f>IF(Table1_2[[#This Row],[Total Price]]&gt;3330.41,"OUTLIER","NORMAL")</f>
        <v>NORMAL</v>
      </c>
      <c r="S355" s="5">
        <v>0</v>
      </c>
    </row>
    <row r="356" spans="1:19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4293</v>
      </c>
      <c r="M356" s="3" t="s">
        <v>4278</v>
      </c>
      <c r="N356" s="6">
        <v>693.41</v>
      </c>
      <c r="O356">
        <v>2023</v>
      </c>
      <c r="P356" s="3" t="s">
        <v>4298</v>
      </c>
      <c r="Q356">
        <v>3</v>
      </c>
      <c r="R356" t="str">
        <f>IF(Table1_2[[#This Row],[Total Price]]&gt;3330.41,"OUTLIER","NORMAL")</f>
        <v>NORMAL</v>
      </c>
      <c r="S356" s="5">
        <v>0</v>
      </c>
    </row>
    <row r="357" spans="1:19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 s="6">
        <v>1299.99</v>
      </c>
      <c r="O357">
        <v>2025</v>
      </c>
      <c r="P357" s="3" t="s">
        <v>4292</v>
      </c>
      <c r="Q357">
        <v>2</v>
      </c>
      <c r="R357" t="str">
        <f>IF(Table1_2[[#This Row],[Total Price]]&gt;3330.41,"OUTLIER","NORMAL")</f>
        <v>NORMAL</v>
      </c>
      <c r="S357" s="5">
        <v>0</v>
      </c>
    </row>
    <row r="358" spans="1:19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 s="6">
        <v>1872.9</v>
      </c>
      <c r="O358">
        <v>2023</v>
      </c>
      <c r="P358" s="3" t="s">
        <v>4291</v>
      </c>
      <c r="Q358">
        <v>2</v>
      </c>
      <c r="R358" t="str">
        <f>IF(Table1_2[[#This Row],[Total Price]]&gt;3330.41,"OUTLIER","NORMAL")</f>
        <v>NORMAL</v>
      </c>
      <c r="S358" s="5">
        <v>0</v>
      </c>
    </row>
    <row r="359" spans="1:19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 s="6">
        <v>2042.8</v>
      </c>
      <c r="O359">
        <v>2023</v>
      </c>
      <c r="P359" s="3" t="s">
        <v>4298</v>
      </c>
      <c r="Q359">
        <v>3</v>
      </c>
      <c r="R359" t="str">
        <f>IF(Table1_2[[#This Row],[Total Price]]&gt;3330.41,"OUTLIER","NORMAL")</f>
        <v>NORMAL</v>
      </c>
      <c r="S359" s="5">
        <v>0</v>
      </c>
    </row>
    <row r="360" spans="1:19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 s="6">
        <v>367.34</v>
      </c>
      <c r="O360">
        <v>2024</v>
      </c>
      <c r="P360" s="3" t="s">
        <v>4294</v>
      </c>
      <c r="Q360">
        <v>2</v>
      </c>
      <c r="R360" t="str">
        <f>IF(Table1_2[[#This Row],[Total Price]]&gt;3330.41,"OUTLIER","NORMAL")</f>
        <v>NORMAL</v>
      </c>
      <c r="S360" s="5">
        <v>0</v>
      </c>
    </row>
    <row r="361" spans="1:19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 s="6">
        <v>2426.2800000000002</v>
      </c>
      <c r="O361">
        <v>2023</v>
      </c>
      <c r="P361" s="3" t="s">
        <v>4292</v>
      </c>
      <c r="Q361">
        <v>2</v>
      </c>
      <c r="R361" t="str">
        <f>IF(Table1_2[[#This Row],[Total Price]]&gt;3330.41,"OUTLIER","NORMAL")</f>
        <v>NORMAL</v>
      </c>
      <c r="S361" s="5">
        <v>0</v>
      </c>
    </row>
    <row r="362" spans="1:19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4293</v>
      </c>
      <c r="M362" s="3" t="s">
        <v>4278</v>
      </c>
      <c r="N362" s="6">
        <v>2358.2800000000002</v>
      </c>
      <c r="O362">
        <v>2024</v>
      </c>
      <c r="P362" s="3" t="s">
        <v>4292</v>
      </c>
      <c r="Q362">
        <v>2</v>
      </c>
      <c r="R362" t="str">
        <f>IF(Table1_2[[#This Row],[Total Price]]&gt;3330.41,"OUTLIER","NORMAL")</f>
        <v>NORMAL</v>
      </c>
      <c r="S362" s="5">
        <v>0</v>
      </c>
    </row>
    <row r="363" spans="1:19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 s="6">
        <v>3299.25</v>
      </c>
      <c r="O363">
        <v>2024</v>
      </c>
      <c r="P363" s="3" t="s">
        <v>4292</v>
      </c>
      <c r="Q363">
        <v>2</v>
      </c>
      <c r="R363" t="str">
        <f>IF(Table1_2[[#This Row],[Total Price]]&gt;3330.41,"OUTLIER","NORMAL")</f>
        <v>NORMAL</v>
      </c>
      <c r="S363" s="5">
        <v>0</v>
      </c>
    </row>
    <row r="364" spans="1:19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 s="6">
        <v>827.36</v>
      </c>
      <c r="O364">
        <v>2023</v>
      </c>
      <c r="P364" s="3" t="s">
        <v>4292</v>
      </c>
      <c r="Q364">
        <v>2</v>
      </c>
      <c r="R364" t="str">
        <f>IF(Table1_2[[#This Row],[Total Price]]&gt;3330.41,"OUTLIER","NORMAL")</f>
        <v>NORMAL</v>
      </c>
      <c r="S364" s="5">
        <v>0</v>
      </c>
    </row>
    <row r="365" spans="1:19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 s="6">
        <v>569.35</v>
      </c>
      <c r="O365">
        <v>2024</v>
      </c>
      <c r="P365" s="3" t="s">
        <v>4291</v>
      </c>
      <c r="Q365">
        <v>2</v>
      </c>
      <c r="R365" t="str">
        <f>IF(Table1_2[[#This Row],[Total Price]]&gt;3330.41,"OUTLIER","NORMAL")</f>
        <v>NORMAL</v>
      </c>
      <c r="S365" s="5">
        <v>0</v>
      </c>
    </row>
    <row r="366" spans="1:19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 s="6">
        <v>3143.7</v>
      </c>
      <c r="O366">
        <v>2023</v>
      </c>
      <c r="P366" s="3" t="s">
        <v>4295</v>
      </c>
      <c r="Q366">
        <v>4</v>
      </c>
      <c r="R366" t="str">
        <f>IF(Table1_2[[#This Row],[Total Price]]&gt;3330.41,"OUTLIER","NORMAL")</f>
        <v>NORMAL</v>
      </c>
      <c r="S366" s="5">
        <v>0</v>
      </c>
    </row>
    <row r="367" spans="1:19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 s="6">
        <v>678.38</v>
      </c>
      <c r="O367">
        <v>2025</v>
      </c>
      <c r="P367" s="3" t="s">
        <v>4289</v>
      </c>
      <c r="Q367">
        <v>1</v>
      </c>
      <c r="R367" t="str">
        <f>IF(Table1_2[[#This Row],[Total Price]]&gt;3330.41,"OUTLIER","NORMAL")</f>
        <v>NORMAL</v>
      </c>
      <c r="S367" s="5">
        <v>0</v>
      </c>
    </row>
    <row r="368" spans="1:19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4293</v>
      </c>
      <c r="M368" s="3" t="s">
        <v>4279</v>
      </c>
      <c r="N368" s="6">
        <v>1806.72</v>
      </c>
      <c r="O368">
        <v>2023</v>
      </c>
      <c r="P368" s="3" t="s">
        <v>4289</v>
      </c>
      <c r="Q368">
        <v>1</v>
      </c>
      <c r="R368" t="str">
        <f>IF(Table1_2[[#This Row],[Total Price]]&gt;3330.41,"OUTLIER","NORMAL")</f>
        <v>NORMAL</v>
      </c>
      <c r="S368" s="5">
        <v>0</v>
      </c>
    </row>
    <row r="369" spans="1:19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 s="6">
        <v>3293.85</v>
      </c>
      <c r="O369">
        <v>2024</v>
      </c>
      <c r="P369" s="3" t="s">
        <v>4294</v>
      </c>
      <c r="Q369">
        <v>2</v>
      </c>
      <c r="R369" t="str">
        <f>IF(Table1_2[[#This Row],[Total Price]]&gt;3330.41,"OUTLIER","NORMAL")</f>
        <v>NORMAL</v>
      </c>
      <c r="S369" s="5">
        <v>0</v>
      </c>
    </row>
    <row r="370" spans="1:19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4293</v>
      </c>
      <c r="M370" s="3" t="s">
        <v>4282</v>
      </c>
      <c r="N370" s="6">
        <v>813.06</v>
      </c>
      <c r="O370">
        <v>2023</v>
      </c>
      <c r="P370" s="3" t="s">
        <v>4291</v>
      </c>
      <c r="Q370">
        <v>2</v>
      </c>
      <c r="R370" t="str">
        <f>IF(Table1_2[[#This Row],[Total Price]]&gt;3330.41,"OUTLIER","NORMAL")</f>
        <v>NORMAL</v>
      </c>
      <c r="S370" s="5">
        <v>0</v>
      </c>
    </row>
    <row r="371" spans="1:19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 s="6">
        <v>1876.25</v>
      </c>
      <c r="O371">
        <v>2024</v>
      </c>
      <c r="P371" s="3" t="s">
        <v>4296</v>
      </c>
      <c r="Q371">
        <v>4</v>
      </c>
      <c r="R371" t="str">
        <f>IF(Table1_2[[#This Row],[Total Price]]&gt;3330.41,"OUTLIER","NORMAL")</f>
        <v>NORMAL</v>
      </c>
      <c r="S371" s="5">
        <v>0</v>
      </c>
    </row>
    <row r="372" spans="1:19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 s="6">
        <v>312.11</v>
      </c>
      <c r="O372">
        <v>2025</v>
      </c>
      <c r="P372" s="3" t="s">
        <v>4291</v>
      </c>
      <c r="Q372">
        <v>2</v>
      </c>
      <c r="R372" t="str">
        <f>IF(Table1_2[[#This Row],[Total Price]]&gt;3330.41,"OUTLIER","NORMAL")</f>
        <v>NORMAL</v>
      </c>
      <c r="S372" s="5">
        <v>0</v>
      </c>
    </row>
    <row r="373" spans="1:19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 s="6">
        <v>1538.8</v>
      </c>
      <c r="O373">
        <v>2023</v>
      </c>
      <c r="P373" s="3" t="s">
        <v>4287</v>
      </c>
      <c r="Q373">
        <v>1</v>
      </c>
      <c r="R373" t="str">
        <f>IF(Table1_2[[#This Row],[Total Price]]&gt;3330.41,"OUTLIER","NORMAL")</f>
        <v>NORMAL</v>
      </c>
      <c r="S373" s="5">
        <v>0</v>
      </c>
    </row>
    <row r="374" spans="1:19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4293</v>
      </c>
      <c r="M374" s="3" t="s">
        <v>4279</v>
      </c>
      <c r="N374" s="6">
        <v>1450.59</v>
      </c>
      <c r="O374">
        <v>2025</v>
      </c>
      <c r="P374" s="3" t="s">
        <v>4289</v>
      </c>
      <c r="Q374">
        <v>1</v>
      </c>
      <c r="R374" t="str">
        <f>IF(Table1_2[[#This Row],[Total Price]]&gt;3330.41,"OUTLIER","NORMAL")</f>
        <v>NORMAL</v>
      </c>
      <c r="S374" s="5">
        <v>0</v>
      </c>
    </row>
    <row r="375" spans="1:19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 s="6">
        <v>1023.45</v>
      </c>
      <c r="O375">
        <v>2023</v>
      </c>
      <c r="P375" s="3" t="s">
        <v>4287</v>
      </c>
      <c r="Q375">
        <v>1</v>
      </c>
      <c r="R375" t="str">
        <f>IF(Table1_2[[#This Row],[Total Price]]&gt;3330.41,"OUTLIER","NORMAL")</f>
        <v>NORMAL</v>
      </c>
      <c r="S375" s="5">
        <v>0</v>
      </c>
    </row>
    <row r="376" spans="1:19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 s="6">
        <v>571.9</v>
      </c>
      <c r="O376">
        <v>2024</v>
      </c>
      <c r="P376" s="3" t="s">
        <v>4299</v>
      </c>
      <c r="Q376">
        <v>3</v>
      </c>
      <c r="R376" t="str">
        <f>IF(Table1_2[[#This Row],[Total Price]]&gt;3330.41,"OUTLIER","NORMAL")</f>
        <v>NORMAL</v>
      </c>
      <c r="S376" s="5">
        <v>0</v>
      </c>
    </row>
    <row r="377" spans="1:19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 s="6">
        <v>380.12</v>
      </c>
      <c r="O377">
        <v>2025</v>
      </c>
      <c r="P377" s="3" t="s">
        <v>4287</v>
      </c>
      <c r="Q377">
        <v>1</v>
      </c>
      <c r="R377" t="str">
        <f>IF(Table1_2[[#This Row],[Total Price]]&gt;3330.41,"OUTLIER","NORMAL")</f>
        <v>NORMAL</v>
      </c>
      <c r="S377" s="5">
        <v>0</v>
      </c>
    </row>
    <row r="378" spans="1:19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 s="6">
        <v>1006.1</v>
      </c>
      <c r="O378">
        <v>2023</v>
      </c>
      <c r="P378" s="3" t="s">
        <v>4288</v>
      </c>
      <c r="Q378">
        <v>3</v>
      </c>
      <c r="R378" t="str">
        <f>IF(Table1_2[[#This Row],[Total Price]]&gt;3330.41,"OUTLIER","NORMAL")</f>
        <v>NORMAL</v>
      </c>
      <c r="S378" s="5">
        <v>0</v>
      </c>
    </row>
    <row r="379" spans="1:19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 s="6">
        <v>260.26</v>
      </c>
      <c r="O379">
        <v>2024</v>
      </c>
      <c r="P379" s="3" t="s">
        <v>4298</v>
      </c>
      <c r="Q379">
        <v>3</v>
      </c>
      <c r="R379" t="str">
        <f>IF(Table1_2[[#This Row],[Total Price]]&gt;3330.41,"OUTLIER","NORMAL")</f>
        <v>NORMAL</v>
      </c>
      <c r="S379" s="5">
        <v>0</v>
      </c>
    </row>
    <row r="380" spans="1:19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 s="6">
        <v>322.5</v>
      </c>
      <c r="O380">
        <v>2024</v>
      </c>
      <c r="P380" s="3" t="s">
        <v>4289</v>
      </c>
      <c r="Q380">
        <v>1</v>
      </c>
      <c r="R380" t="str">
        <f>IF(Table1_2[[#This Row],[Total Price]]&gt;3330.41,"OUTLIER","NORMAL")</f>
        <v>NORMAL</v>
      </c>
      <c r="S380" s="5">
        <v>0</v>
      </c>
    </row>
    <row r="381" spans="1:19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4293</v>
      </c>
      <c r="M381" s="3" t="s">
        <v>4282</v>
      </c>
      <c r="N381" s="6">
        <v>893.01</v>
      </c>
      <c r="O381">
        <v>2024</v>
      </c>
      <c r="P381" s="3" t="s">
        <v>4299</v>
      </c>
      <c r="Q381">
        <v>3</v>
      </c>
      <c r="R381" t="str">
        <f>IF(Table1_2[[#This Row],[Total Price]]&gt;3330.41,"OUTLIER","NORMAL")</f>
        <v>NORMAL</v>
      </c>
      <c r="S381" s="5">
        <v>0</v>
      </c>
    </row>
    <row r="382" spans="1:19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 s="6">
        <v>1327.6</v>
      </c>
      <c r="O382">
        <v>2024</v>
      </c>
      <c r="P382" s="3" t="s">
        <v>4294</v>
      </c>
      <c r="Q382">
        <v>2</v>
      </c>
      <c r="R382" t="str">
        <f>IF(Table1_2[[#This Row],[Total Price]]&gt;3330.41,"OUTLIER","NORMAL")</f>
        <v>NORMAL</v>
      </c>
      <c r="S382" s="5">
        <v>0</v>
      </c>
    </row>
    <row r="383" spans="1:19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 s="6">
        <v>191.76</v>
      </c>
      <c r="O383">
        <v>2023</v>
      </c>
      <c r="P383" s="3" t="s">
        <v>4292</v>
      </c>
      <c r="Q383">
        <v>2</v>
      </c>
      <c r="R383" t="str">
        <f>IF(Table1_2[[#This Row],[Total Price]]&gt;3330.41,"OUTLIER","NORMAL")</f>
        <v>NORMAL</v>
      </c>
      <c r="S383" s="5">
        <v>0</v>
      </c>
    </row>
    <row r="384" spans="1:19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 s="6">
        <v>1052.3599999999999</v>
      </c>
      <c r="O384">
        <v>2025</v>
      </c>
      <c r="P384" s="3" t="s">
        <v>4287</v>
      </c>
      <c r="Q384">
        <v>1</v>
      </c>
      <c r="R384" t="str">
        <f>IF(Table1_2[[#This Row],[Total Price]]&gt;3330.41,"OUTLIER","NORMAL")</f>
        <v>NORMAL</v>
      </c>
      <c r="S384" s="5">
        <v>0</v>
      </c>
    </row>
    <row r="385" spans="1:19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 s="6">
        <v>1575.2</v>
      </c>
      <c r="O385">
        <v>2023</v>
      </c>
      <c r="P385" s="3" t="s">
        <v>4287</v>
      </c>
      <c r="Q385">
        <v>1</v>
      </c>
      <c r="R385" t="str">
        <f>IF(Table1_2[[#This Row],[Total Price]]&gt;3330.41,"OUTLIER","NORMAL")</f>
        <v>NORMAL</v>
      </c>
      <c r="S385" s="5">
        <v>0</v>
      </c>
    </row>
    <row r="386" spans="1:19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 s="6">
        <v>1660.71</v>
      </c>
      <c r="O386">
        <v>2024</v>
      </c>
      <c r="P386" s="3" t="s">
        <v>4295</v>
      </c>
      <c r="Q386">
        <v>4</v>
      </c>
      <c r="R386" t="str">
        <f>IF(Table1_2[[#This Row],[Total Price]]&gt;3330.41,"OUTLIER","NORMAL")</f>
        <v>NORMAL</v>
      </c>
      <c r="S386" s="5">
        <v>0</v>
      </c>
    </row>
    <row r="387" spans="1:19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 s="6">
        <v>958.15</v>
      </c>
      <c r="O387">
        <v>2023</v>
      </c>
      <c r="P387" s="3" t="s">
        <v>4290</v>
      </c>
      <c r="Q387">
        <v>4</v>
      </c>
      <c r="R387" t="str">
        <f>IF(Table1_2[[#This Row],[Total Price]]&gt;3330.41,"OUTLIER","NORMAL")</f>
        <v>NORMAL</v>
      </c>
      <c r="S387" s="5">
        <v>0</v>
      </c>
    </row>
    <row r="388" spans="1:19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4293</v>
      </c>
      <c r="M388" s="3" t="s">
        <v>4280</v>
      </c>
      <c r="N388" s="6">
        <v>93.02</v>
      </c>
      <c r="O388">
        <v>2023</v>
      </c>
      <c r="P388" s="3" t="s">
        <v>4294</v>
      </c>
      <c r="Q388">
        <v>2</v>
      </c>
      <c r="R388" t="str">
        <f>IF(Table1_2[[#This Row],[Total Price]]&gt;3330.41,"OUTLIER","NORMAL")</f>
        <v>NORMAL</v>
      </c>
      <c r="S388" s="5">
        <v>0</v>
      </c>
    </row>
    <row r="389" spans="1:19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 s="6">
        <v>79.06</v>
      </c>
      <c r="O389">
        <v>2024</v>
      </c>
      <c r="P389" s="3" t="s">
        <v>4292</v>
      </c>
      <c r="Q389">
        <v>2</v>
      </c>
      <c r="R389" t="str">
        <f>IF(Table1_2[[#This Row],[Total Price]]&gt;3330.41,"OUTLIER","NORMAL")</f>
        <v>NORMAL</v>
      </c>
      <c r="S389" s="5">
        <v>0</v>
      </c>
    </row>
    <row r="390" spans="1:19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 s="6">
        <v>1901.91</v>
      </c>
      <c r="O390">
        <v>2023</v>
      </c>
      <c r="P390" s="3" t="s">
        <v>4296</v>
      </c>
      <c r="Q390">
        <v>4</v>
      </c>
      <c r="R390" t="str">
        <f>IF(Table1_2[[#This Row],[Total Price]]&gt;3330.41,"OUTLIER","NORMAL")</f>
        <v>NORMAL</v>
      </c>
      <c r="S390" s="5">
        <v>0</v>
      </c>
    </row>
    <row r="391" spans="1:19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 s="6">
        <v>2790</v>
      </c>
      <c r="O391">
        <v>2023</v>
      </c>
      <c r="P391" s="3" t="s">
        <v>4296</v>
      </c>
      <c r="Q391">
        <v>4</v>
      </c>
      <c r="R391" t="str">
        <f>IF(Table1_2[[#This Row],[Total Price]]&gt;3330.41,"OUTLIER","NORMAL")</f>
        <v>NORMAL</v>
      </c>
      <c r="S391" s="5">
        <v>0</v>
      </c>
    </row>
    <row r="392" spans="1:19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 s="6">
        <v>2543.4499999999998</v>
      </c>
      <c r="O392">
        <v>2023</v>
      </c>
      <c r="P392" s="3" t="s">
        <v>4298</v>
      </c>
      <c r="Q392">
        <v>3</v>
      </c>
      <c r="R392" t="str">
        <f>IF(Table1_2[[#This Row],[Total Price]]&gt;3330.41,"OUTLIER","NORMAL")</f>
        <v>NORMAL</v>
      </c>
      <c r="S392" s="5">
        <v>0</v>
      </c>
    </row>
    <row r="393" spans="1:19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 s="6">
        <v>1054.92</v>
      </c>
      <c r="O393">
        <v>2025</v>
      </c>
      <c r="P393" s="3" t="s">
        <v>4287</v>
      </c>
      <c r="Q393">
        <v>1</v>
      </c>
      <c r="R393" t="str">
        <f>IF(Table1_2[[#This Row],[Total Price]]&gt;3330.41,"OUTLIER","NORMAL")</f>
        <v>NORMAL</v>
      </c>
      <c r="S393" s="5">
        <v>0</v>
      </c>
    </row>
    <row r="394" spans="1:19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 s="6">
        <v>627.20000000000005</v>
      </c>
      <c r="O394">
        <v>2024</v>
      </c>
      <c r="P394" s="3" t="s">
        <v>4289</v>
      </c>
      <c r="Q394">
        <v>1</v>
      </c>
      <c r="R394" t="str">
        <f>IF(Table1_2[[#This Row],[Total Price]]&gt;3330.41,"OUTLIER","NORMAL")</f>
        <v>NORMAL</v>
      </c>
      <c r="S394" s="5">
        <v>0</v>
      </c>
    </row>
    <row r="395" spans="1:19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4293</v>
      </c>
      <c r="M395" s="3" t="s">
        <v>4282</v>
      </c>
      <c r="N395" s="6">
        <v>75.010000000000005</v>
      </c>
      <c r="O395">
        <v>2024</v>
      </c>
      <c r="P395" s="3" t="s">
        <v>4298</v>
      </c>
      <c r="Q395">
        <v>3</v>
      </c>
      <c r="R395" t="str">
        <f>IF(Table1_2[[#This Row],[Total Price]]&gt;3330.41,"OUTLIER","NORMAL")</f>
        <v>NORMAL</v>
      </c>
      <c r="S395" s="5">
        <v>0</v>
      </c>
    </row>
    <row r="396" spans="1:19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4293</v>
      </c>
      <c r="M396" s="3" t="s">
        <v>4281</v>
      </c>
      <c r="N396" s="6">
        <v>2647.75</v>
      </c>
      <c r="O396">
        <v>2023</v>
      </c>
      <c r="P396" s="3" t="s">
        <v>4298</v>
      </c>
      <c r="Q396">
        <v>3</v>
      </c>
      <c r="R396" t="str">
        <f>IF(Table1_2[[#This Row],[Total Price]]&gt;3330.41,"OUTLIER","NORMAL")</f>
        <v>NORMAL</v>
      </c>
      <c r="S396" s="5">
        <v>0</v>
      </c>
    </row>
    <row r="397" spans="1:19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 s="6">
        <v>382.23</v>
      </c>
      <c r="O397">
        <v>2025</v>
      </c>
      <c r="P397" s="3" t="s">
        <v>4294</v>
      </c>
      <c r="Q397">
        <v>2</v>
      </c>
      <c r="R397" t="str">
        <f>IF(Table1_2[[#This Row],[Total Price]]&gt;3330.41,"OUTLIER","NORMAL")</f>
        <v>NORMAL</v>
      </c>
      <c r="S397" s="5">
        <v>0</v>
      </c>
    </row>
    <row r="398" spans="1:19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 s="6">
        <v>1435.65</v>
      </c>
      <c r="O398">
        <v>2023</v>
      </c>
      <c r="P398" s="3" t="s">
        <v>4296</v>
      </c>
      <c r="Q398">
        <v>4</v>
      </c>
      <c r="R398" t="str">
        <f>IF(Table1_2[[#This Row],[Total Price]]&gt;3330.41,"OUTLIER","NORMAL")</f>
        <v>NORMAL</v>
      </c>
      <c r="S398" s="5">
        <v>0</v>
      </c>
    </row>
    <row r="399" spans="1:19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 s="6">
        <v>427.06</v>
      </c>
      <c r="O399">
        <v>2023</v>
      </c>
      <c r="P399" s="3" t="s">
        <v>4299</v>
      </c>
      <c r="Q399">
        <v>3</v>
      </c>
      <c r="R399" t="str">
        <f>IF(Table1_2[[#This Row],[Total Price]]&gt;3330.41,"OUTLIER","NORMAL")</f>
        <v>NORMAL</v>
      </c>
      <c r="S399" s="5">
        <v>0</v>
      </c>
    </row>
    <row r="400" spans="1:19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 s="6">
        <v>269.64999999999998</v>
      </c>
      <c r="O400">
        <v>2024</v>
      </c>
      <c r="P400" s="3" t="s">
        <v>4299</v>
      </c>
      <c r="Q400">
        <v>3</v>
      </c>
      <c r="R400" t="str">
        <f>IF(Table1_2[[#This Row],[Total Price]]&gt;3330.41,"OUTLIER","NORMAL")</f>
        <v>NORMAL</v>
      </c>
      <c r="S400" s="5">
        <v>0</v>
      </c>
    </row>
    <row r="401" spans="1:19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 s="6">
        <v>2119.65</v>
      </c>
      <c r="O401">
        <v>2024</v>
      </c>
      <c r="P401" s="3" t="s">
        <v>4287</v>
      </c>
      <c r="Q401">
        <v>1</v>
      </c>
      <c r="R401" t="str">
        <f>IF(Table1_2[[#This Row],[Total Price]]&gt;3330.41,"OUTLIER","NORMAL")</f>
        <v>NORMAL</v>
      </c>
      <c r="S401" s="5">
        <v>0</v>
      </c>
    </row>
    <row r="402" spans="1:19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 s="6">
        <v>640.88</v>
      </c>
      <c r="O402">
        <v>2024</v>
      </c>
      <c r="P402" s="3" t="s">
        <v>4299</v>
      </c>
      <c r="Q402">
        <v>3</v>
      </c>
      <c r="R402" t="str">
        <f>IF(Table1_2[[#This Row],[Total Price]]&gt;3330.41,"OUTLIER","NORMAL")</f>
        <v>NORMAL</v>
      </c>
      <c r="S402" s="5">
        <v>0</v>
      </c>
    </row>
    <row r="403" spans="1:19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4293</v>
      </c>
      <c r="M403" s="3" t="s">
        <v>4279</v>
      </c>
      <c r="N403" s="6">
        <v>538.67999999999995</v>
      </c>
      <c r="O403">
        <v>2025</v>
      </c>
      <c r="P403" s="3" t="s">
        <v>4294</v>
      </c>
      <c r="Q403">
        <v>2</v>
      </c>
      <c r="R403" t="str">
        <f>IF(Table1_2[[#This Row],[Total Price]]&gt;3330.41,"OUTLIER","NORMAL")</f>
        <v>NORMAL</v>
      </c>
      <c r="S403" s="5">
        <v>0</v>
      </c>
    </row>
    <row r="404" spans="1:19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4293</v>
      </c>
      <c r="M404" s="3" t="s">
        <v>4279</v>
      </c>
      <c r="N404" s="6">
        <v>1686.9</v>
      </c>
      <c r="O404">
        <v>2023</v>
      </c>
      <c r="P404" s="3" t="s">
        <v>4294</v>
      </c>
      <c r="Q404">
        <v>2</v>
      </c>
      <c r="R404" t="str">
        <f>IF(Table1_2[[#This Row],[Total Price]]&gt;3330.41,"OUTLIER","NORMAL")</f>
        <v>NORMAL</v>
      </c>
      <c r="S404" s="5">
        <v>0</v>
      </c>
    </row>
    <row r="405" spans="1:19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 s="6">
        <v>620.21</v>
      </c>
      <c r="O405">
        <v>2024</v>
      </c>
      <c r="P405" s="3" t="s">
        <v>4295</v>
      </c>
      <c r="Q405">
        <v>4</v>
      </c>
      <c r="R405" t="str">
        <f>IF(Table1_2[[#This Row],[Total Price]]&gt;3330.41,"OUTLIER","NORMAL")</f>
        <v>NORMAL</v>
      </c>
      <c r="S405" s="5">
        <v>0</v>
      </c>
    </row>
    <row r="406" spans="1:19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4293</v>
      </c>
      <c r="M406" s="3" t="s">
        <v>4278</v>
      </c>
      <c r="N406" s="6">
        <v>198.2</v>
      </c>
      <c r="O406">
        <v>2023</v>
      </c>
      <c r="P406" s="3" t="s">
        <v>4297</v>
      </c>
      <c r="Q406">
        <v>1</v>
      </c>
      <c r="R406" t="str">
        <f>IF(Table1_2[[#This Row],[Total Price]]&gt;3330.41,"OUTLIER","NORMAL")</f>
        <v>NORMAL</v>
      </c>
      <c r="S406" s="5">
        <v>0</v>
      </c>
    </row>
    <row r="407" spans="1:19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 s="6">
        <v>1807.88</v>
      </c>
      <c r="O407">
        <v>2025</v>
      </c>
      <c r="P407" s="3" t="s">
        <v>4287</v>
      </c>
      <c r="Q407">
        <v>1</v>
      </c>
      <c r="R407" t="str">
        <f>IF(Table1_2[[#This Row],[Total Price]]&gt;3330.41,"OUTLIER","NORMAL")</f>
        <v>NORMAL</v>
      </c>
      <c r="S407" s="5">
        <v>0</v>
      </c>
    </row>
    <row r="408" spans="1:19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 s="6">
        <v>264.39999999999998</v>
      </c>
      <c r="O408">
        <v>2023</v>
      </c>
      <c r="P408" s="3" t="s">
        <v>4296</v>
      </c>
      <c r="Q408">
        <v>4</v>
      </c>
      <c r="R408" t="str">
        <f>IF(Table1_2[[#This Row],[Total Price]]&gt;3330.41,"OUTLIER","NORMAL")</f>
        <v>NORMAL</v>
      </c>
      <c r="S408" s="5">
        <v>0</v>
      </c>
    </row>
    <row r="409" spans="1:19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 s="6">
        <v>2189.2800000000002</v>
      </c>
      <c r="O409">
        <v>2023</v>
      </c>
      <c r="P409" s="3" t="s">
        <v>4288</v>
      </c>
      <c r="Q409">
        <v>3</v>
      </c>
      <c r="R409" t="str">
        <f>IF(Table1_2[[#This Row],[Total Price]]&gt;3330.41,"OUTLIER","NORMAL")</f>
        <v>NORMAL</v>
      </c>
      <c r="S409" s="5">
        <v>0</v>
      </c>
    </row>
    <row r="410" spans="1:19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 s="6">
        <v>1237.5899999999999</v>
      </c>
      <c r="O410">
        <v>2025</v>
      </c>
      <c r="P410" s="3" t="s">
        <v>4287</v>
      </c>
      <c r="Q410">
        <v>1</v>
      </c>
      <c r="R410" t="str">
        <f>IF(Table1_2[[#This Row],[Total Price]]&gt;3330.41,"OUTLIER","NORMAL")</f>
        <v>NORMAL</v>
      </c>
      <c r="S410" s="5">
        <v>0</v>
      </c>
    </row>
    <row r="411" spans="1:19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 s="6">
        <v>420.65</v>
      </c>
      <c r="O411">
        <v>2023</v>
      </c>
      <c r="P411" s="3" t="s">
        <v>4292</v>
      </c>
      <c r="Q411">
        <v>2</v>
      </c>
      <c r="R411" t="str">
        <f>IF(Table1_2[[#This Row],[Total Price]]&gt;3330.41,"OUTLIER","NORMAL")</f>
        <v>NORMAL</v>
      </c>
      <c r="S411" s="5">
        <v>0</v>
      </c>
    </row>
    <row r="412" spans="1:19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4293</v>
      </c>
      <c r="M412" s="3" t="s">
        <v>4280</v>
      </c>
      <c r="N412" s="6">
        <v>1036.46</v>
      </c>
      <c r="O412">
        <v>2024</v>
      </c>
      <c r="P412" s="3" t="s">
        <v>4287</v>
      </c>
      <c r="Q412">
        <v>1</v>
      </c>
      <c r="R412" t="str">
        <f>IF(Table1_2[[#This Row],[Total Price]]&gt;3330.41,"OUTLIER","NORMAL")</f>
        <v>NORMAL</v>
      </c>
      <c r="S412" s="5">
        <v>0</v>
      </c>
    </row>
    <row r="413" spans="1:19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4293</v>
      </c>
      <c r="M413" s="3" t="s">
        <v>4281</v>
      </c>
      <c r="N413" s="6">
        <v>79.02</v>
      </c>
      <c r="O413">
        <v>2024</v>
      </c>
      <c r="P413" s="3" t="s">
        <v>4292</v>
      </c>
      <c r="Q413">
        <v>2</v>
      </c>
      <c r="R413" t="str">
        <f>IF(Table1_2[[#This Row],[Total Price]]&gt;3330.41,"OUTLIER","NORMAL")</f>
        <v>NORMAL</v>
      </c>
      <c r="S413" s="5">
        <v>0</v>
      </c>
    </row>
    <row r="414" spans="1:19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4293</v>
      </c>
      <c r="M414" s="3" t="s">
        <v>4281</v>
      </c>
      <c r="N414" s="6">
        <v>665.05</v>
      </c>
      <c r="O414">
        <v>2025</v>
      </c>
      <c r="P414" s="3" t="s">
        <v>4294</v>
      </c>
      <c r="Q414">
        <v>2</v>
      </c>
      <c r="R414" t="str">
        <f>IF(Table1_2[[#This Row],[Total Price]]&gt;3330.41,"OUTLIER","NORMAL")</f>
        <v>NORMAL</v>
      </c>
      <c r="S414" s="5">
        <v>0</v>
      </c>
    </row>
    <row r="415" spans="1:19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 s="6">
        <v>118.8</v>
      </c>
      <c r="O415">
        <v>2023</v>
      </c>
      <c r="P415" s="3" t="s">
        <v>4290</v>
      </c>
      <c r="Q415">
        <v>4</v>
      </c>
      <c r="R415" t="str">
        <f>IF(Table1_2[[#This Row],[Total Price]]&gt;3330.41,"OUTLIER","NORMAL")</f>
        <v>NORMAL</v>
      </c>
      <c r="S415" s="5">
        <v>0</v>
      </c>
    </row>
    <row r="416" spans="1:19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 s="6">
        <v>279.14</v>
      </c>
      <c r="O416">
        <v>2025</v>
      </c>
      <c r="P416" s="3" t="s">
        <v>4291</v>
      </c>
      <c r="Q416">
        <v>2</v>
      </c>
      <c r="R416" t="str">
        <f>IF(Table1_2[[#This Row],[Total Price]]&gt;3330.41,"OUTLIER","NORMAL")</f>
        <v>NORMAL</v>
      </c>
      <c r="S416" s="5">
        <v>0</v>
      </c>
    </row>
    <row r="417" spans="1:19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 s="6">
        <v>184.15</v>
      </c>
      <c r="O417">
        <v>2025</v>
      </c>
      <c r="P417" s="3" t="s">
        <v>4294</v>
      </c>
      <c r="Q417">
        <v>2</v>
      </c>
      <c r="R417" t="str">
        <f>IF(Table1_2[[#This Row],[Total Price]]&gt;3330.41,"OUTLIER","NORMAL")</f>
        <v>NORMAL</v>
      </c>
      <c r="S417" s="5">
        <v>0</v>
      </c>
    </row>
    <row r="418" spans="1:19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 s="6">
        <v>1288.0999999999999</v>
      </c>
      <c r="O418">
        <v>2023</v>
      </c>
      <c r="P418" s="3" t="s">
        <v>4298</v>
      </c>
      <c r="Q418">
        <v>3</v>
      </c>
      <c r="R418" t="str">
        <f>IF(Table1_2[[#This Row],[Total Price]]&gt;3330.41,"OUTLIER","NORMAL")</f>
        <v>NORMAL</v>
      </c>
      <c r="S418" s="5">
        <v>0</v>
      </c>
    </row>
    <row r="419" spans="1:19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4293</v>
      </c>
      <c r="M419" s="3" t="s">
        <v>4282</v>
      </c>
      <c r="N419" s="6">
        <v>277.05</v>
      </c>
      <c r="O419">
        <v>2023</v>
      </c>
      <c r="P419" s="3" t="s">
        <v>4290</v>
      </c>
      <c r="Q419">
        <v>4</v>
      </c>
      <c r="R419" t="str">
        <f>IF(Table1_2[[#This Row],[Total Price]]&gt;3330.41,"OUTLIER","NORMAL")</f>
        <v>NORMAL</v>
      </c>
      <c r="S419" s="5">
        <v>0</v>
      </c>
    </row>
    <row r="420" spans="1:19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4293</v>
      </c>
      <c r="M420" s="3" t="s">
        <v>4281</v>
      </c>
      <c r="N420" s="6">
        <v>310.93</v>
      </c>
      <c r="O420">
        <v>2023</v>
      </c>
      <c r="P420" s="3" t="s">
        <v>4287</v>
      </c>
      <c r="Q420">
        <v>1</v>
      </c>
      <c r="R420" t="str">
        <f>IF(Table1_2[[#This Row],[Total Price]]&gt;3330.41,"OUTLIER","NORMAL")</f>
        <v>NORMAL</v>
      </c>
      <c r="S420" s="5">
        <v>0</v>
      </c>
    </row>
    <row r="421" spans="1:19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 s="6">
        <v>433.32</v>
      </c>
      <c r="O421">
        <v>2024</v>
      </c>
      <c r="P421" s="3" t="s">
        <v>4294</v>
      </c>
      <c r="Q421">
        <v>2</v>
      </c>
      <c r="R421" t="str">
        <f>IF(Table1_2[[#This Row],[Total Price]]&gt;3330.41,"OUTLIER","NORMAL")</f>
        <v>NORMAL</v>
      </c>
      <c r="S421" s="5">
        <v>0</v>
      </c>
    </row>
    <row r="422" spans="1:19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 s="6">
        <v>452.7</v>
      </c>
      <c r="O422">
        <v>2024</v>
      </c>
      <c r="P422" s="3" t="s">
        <v>4295</v>
      </c>
      <c r="Q422">
        <v>4</v>
      </c>
      <c r="R422" t="str">
        <f>IF(Table1_2[[#This Row],[Total Price]]&gt;3330.41,"OUTLIER","NORMAL")</f>
        <v>NORMAL</v>
      </c>
      <c r="S422" s="5">
        <v>0</v>
      </c>
    </row>
    <row r="423" spans="1:19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4293</v>
      </c>
      <c r="M423" s="3" t="s">
        <v>4280</v>
      </c>
      <c r="N423" s="6">
        <v>576.41999999999996</v>
      </c>
      <c r="O423">
        <v>2023</v>
      </c>
      <c r="P423" s="3" t="s">
        <v>4290</v>
      </c>
      <c r="Q423">
        <v>4</v>
      </c>
      <c r="R423" t="str">
        <f>IF(Table1_2[[#This Row],[Total Price]]&gt;3330.41,"OUTLIER","NORMAL")</f>
        <v>NORMAL</v>
      </c>
      <c r="S423" s="5">
        <v>0</v>
      </c>
    </row>
    <row r="424" spans="1:19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 s="6">
        <v>826.4</v>
      </c>
      <c r="O424">
        <v>2023</v>
      </c>
      <c r="P424" s="3" t="s">
        <v>4292</v>
      </c>
      <c r="Q424">
        <v>2</v>
      </c>
      <c r="R424" t="str">
        <f>IF(Table1_2[[#This Row],[Total Price]]&gt;3330.41,"OUTLIER","NORMAL")</f>
        <v>NORMAL</v>
      </c>
      <c r="S424" s="5">
        <v>0</v>
      </c>
    </row>
    <row r="425" spans="1:19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 s="6">
        <v>2740.8</v>
      </c>
      <c r="O425">
        <v>2024</v>
      </c>
      <c r="P425" s="3" t="s">
        <v>4298</v>
      </c>
      <c r="Q425">
        <v>3</v>
      </c>
      <c r="R425" t="str">
        <f>IF(Table1_2[[#This Row],[Total Price]]&gt;3330.41,"OUTLIER","NORMAL")</f>
        <v>NORMAL</v>
      </c>
      <c r="S425" s="5">
        <v>0</v>
      </c>
    </row>
    <row r="426" spans="1:19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4293</v>
      </c>
      <c r="M426" s="3" t="s">
        <v>4280</v>
      </c>
      <c r="N426" s="6">
        <v>114.7</v>
      </c>
      <c r="O426">
        <v>2023</v>
      </c>
      <c r="P426" s="3" t="s">
        <v>4294</v>
      </c>
      <c r="Q426">
        <v>2</v>
      </c>
      <c r="R426" t="str">
        <f>IF(Table1_2[[#This Row],[Total Price]]&gt;3330.41,"OUTLIER","NORMAL")</f>
        <v>NORMAL</v>
      </c>
      <c r="S426" s="5">
        <v>0</v>
      </c>
    </row>
    <row r="427" spans="1:19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 s="6">
        <v>603.76</v>
      </c>
      <c r="O427">
        <v>2023</v>
      </c>
      <c r="P427" s="3" t="s">
        <v>4297</v>
      </c>
      <c r="Q427">
        <v>1</v>
      </c>
      <c r="R427" t="str">
        <f>IF(Table1_2[[#This Row],[Total Price]]&gt;3330.41,"OUTLIER","NORMAL")</f>
        <v>NORMAL</v>
      </c>
      <c r="S427" s="5">
        <v>0</v>
      </c>
    </row>
    <row r="428" spans="1:19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4293</v>
      </c>
      <c r="M428" s="3" t="s">
        <v>4281</v>
      </c>
      <c r="N428" s="6">
        <v>287.25</v>
      </c>
      <c r="O428">
        <v>2025</v>
      </c>
      <c r="P428" s="3" t="s">
        <v>4297</v>
      </c>
      <c r="Q428">
        <v>1</v>
      </c>
      <c r="R428" t="str">
        <f>IF(Table1_2[[#This Row],[Total Price]]&gt;3330.41,"OUTLIER","NORMAL")</f>
        <v>NORMAL</v>
      </c>
      <c r="S428" s="5">
        <v>0</v>
      </c>
    </row>
    <row r="429" spans="1:19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 s="6">
        <v>161.24</v>
      </c>
      <c r="O429">
        <v>2024</v>
      </c>
      <c r="P429" s="3" t="s">
        <v>4296</v>
      </c>
      <c r="Q429">
        <v>4</v>
      </c>
      <c r="R429" t="str">
        <f>IF(Table1_2[[#This Row],[Total Price]]&gt;3330.41,"OUTLIER","NORMAL")</f>
        <v>NORMAL</v>
      </c>
      <c r="S429" s="5">
        <v>0</v>
      </c>
    </row>
    <row r="430" spans="1:19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 s="6">
        <v>1050.32</v>
      </c>
      <c r="O430">
        <v>2024</v>
      </c>
      <c r="P430" s="3" t="s">
        <v>4295</v>
      </c>
      <c r="Q430">
        <v>4</v>
      </c>
      <c r="R430" t="str">
        <f>IF(Table1_2[[#This Row],[Total Price]]&gt;3330.41,"OUTLIER","NORMAL")</f>
        <v>NORMAL</v>
      </c>
      <c r="S430" s="5">
        <v>0</v>
      </c>
    </row>
    <row r="431" spans="1:19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 s="6">
        <v>2060.7600000000002</v>
      </c>
      <c r="O431">
        <v>2024</v>
      </c>
      <c r="P431" s="3" t="s">
        <v>4296</v>
      </c>
      <c r="Q431">
        <v>4</v>
      </c>
      <c r="R431" t="str">
        <f>IF(Table1_2[[#This Row],[Total Price]]&gt;3330.41,"OUTLIER","NORMAL")</f>
        <v>NORMAL</v>
      </c>
      <c r="S431" s="5">
        <v>0</v>
      </c>
    </row>
    <row r="432" spans="1:19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 s="6">
        <v>450.07</v>
      </c>
      <c r="O432">
        <v>2023</v>
      </c>
      <c r="P432" s="3" t="s">
        <v>4292</v>
      </c>
      <c r="Q432">
        <v>2</v>
      </c>
      <c r="R432" t="str">
        <f>IF(Table1_2[[#This Row],[Total Price]]&gt;3330.41,"OUTLIER","NORMAL")</f>
        <v>NORMAL</v>
      </c>
      <c r="S432" s="5">
        <v>0</v>
      </c>
    </row>
    <row r="433" spans="1:19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 s="6">
        <v>52.54</v>
      </c>
      <c r="O433">
        <v>2024</v>
      </c>
      <c r="P433" s="3" t="s">
        <v>4290</v>
      </c>
      <c r="Q433">
        <v>4</v>
      </c>
      <c r="R433" t="str">
        <f>IF(Table1_2[[#This Row],[Total Price]]&gt;3330.41,"OUTLIER","NORMAL")</f>
        <v>NORMAL</v>
      </c>
      <c r="S433" s="5">
        <v>0</v>
      </c>
    </row>
    <row r="434" spans="1:19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4293</v>
      </c>
      <c r="M434" s="3" t="s">
        <v>4279</v>
      </c>
      <c r="N434" s="6">
        <v>848.64</v>
      </c>
      <c r="O434">
        <v>2023</v>
      </c>
      <c r="P434" s="3" t="s">
        <v>4299</v>
      </c>
      <c r="Q434">
        <v>3</v>
      </c>
      <c r="R434" t="str">
        <f>IF(Table1_2[[#This Row],[Total Price]]&gt;3330.41,"OUTLIER","NORMAL")</f>
        <v>NORMAL</v>
      </c>
      <c r="S434" s="5">
        <v>0</v>
      </c>
    </row>
    <row r="435" spans="1:19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 s="6">
        <v>1894.92</v>
      </c>
      <c r="O435">
        <v>2023</v>
      </c>
      <c r="P435" s="3" t="s">
        <v>4288</v>
      </c>
      <c r="Q435">
        <v>3</v>
      </c>
      <c r="R435" t="str">
        <f>IF(Table1_2[[#This Row],[Total Price]]&gt;3330.41,"OUTLIER","NORMAL")</f>
        <v>NORMAL</v>
      </c>
      <c r="S435" s="5">
        <v>0</v>
      </c>
    </row>
    <row r="436" spans="1:19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4293</v>
      </c>
      <c r="M436" s="3" t="s">
        <v>4281</v>
      </c>
      <c r="N436" s="6">
        <v>1638.4</v>
      </c>
      <c r="O436">
        <v>2023</v>
      </c>
      <c r="P436" s="3" t="s">
        <v>4290</v>
      </c>
      <c r="Q436">
        <v>4</v>
      </c>
      <c r="R436" t="str">
        <f>IF(Table1_2[[#This Row],[Total Price]]&gt;3330.41,"OUTLIER","NORMAL")</f>
        <v>NORMAL</v>
      </c>
      <c r="S436" s="5">
        <v>0</v>
      </c>
    </row>
    <row r="437" spans="1:19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 s="6">
        <v>414.47</v>
      </c>
      <c r="O437">
        <v>2023</v>
      </c>
      <c r="P437" s="3" t="s">
        <v>4291</v>
      </c>
      <c r="Q437">
        <v>2</v>
      </c>
      <c r="R437" t="str">
        <f>IF(Table1_2[[#This Row],[Total Price]]&gt;3330.41,"OUTLIER","NORMAL")</f>
        <v>NORMAL</v>
      </c>
      <c r="S437" s="5">
        <v>0</v>
      </c>
    </row>
    <row r="438" spans="1:19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4293</v>
      </c>
      <c r="M438" s="3" t="s">
        <v>4282</v>
      </c>
      <c r="N438" s="6">
        <v>885.32</v>
      </c>
      <c r="O438">
        <v>2023</v>
      </c>
      <c r="P438" s="3" t="s">
        <v>4289</v>
      </c>
      <c r="Q438">
        <v>1</v>
      </c>
      <c r="R438" t="str">
        <f>IF(Table1_2[[#This Row],[Total Price]]&gt;3330.41,"OUTLIER","NORMAL")</f>
        <v>NORMAL</v>
      </c>
      <c r="S438" s="5">
        <v>0</v>
      </c>
    </row>
    <row r="439" spans="1:19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 s="6">
        <v>512.39</v>
      </c>
      <c r="O439">
        <v>2024</v>
      </c>
      <c r="P439" s="3" t="s">
        <v>4294</v>
      </c>
      <c r="Q439">
        <v>2</v>
      </c>
      <c r="R439" t="str">
        <f>IF(Table1_2[[#This Row],[Total Price]]&gt;3330.41,"OUTLIER","NORMAL")</f>
        <v>NORMAL</v>
      </c>
      <c r="S439" s="5">
        <v>0</v>
      </c>
    </row>
    <row r="440" spans="1:19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 s="6">
        <v>1378.02</v>
      </c>
      <c r="O440">
        <v>2025</v>
      </c>
      <c r="P440" s="3" t="s">
        <v>4287</v>
      </c>
      <c r="Q440">
        <v>1</v>
      </c>
      <c r="R440" t="str">
        <f>IF(Table1_2[[#This Row],[Total Price]]&gt;3330.41,"OUTLIER","NORMAL")</f>
        <v>NORMAL</v>
      </c>
      <c r="S440" s="5">
        <v>0</v>
      </c>
    </row>
    <row r="441" spans="1:19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 s="6">
        <v>146.32</v>
      </c>
      <c r="O441">
        <v>2024</v>
      </c>
      <c r="P441" s="3" t="s">
        <v>4299</v>
      </c>
      <c r="Q441">
        <v>3</v>
      </c>
      <c r="R441" t="str">
        <f>IF(Table1_2[[#This Row],[Total Price]]&gt;3330.41,"OUTLIER","NORMAL")</f>
        <v>NORMAL</v>
      </c>
      <c r="S441" s="5">
        <v>0</v>
      </c>
    </row>
    <row r="442" spans="1:19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 s="6">
        <v>334.4</v>
      </c>
      <c r="O442">
        <v>2024</v>
      </c>
      <c r="P442" s="3" t="s">
        <v>4295</v>
      </c>
      <c r="Q442">
        <v>4</v>
      </c>
      <c r="R442" t="str">
        <f>IF(Table1_2[[#This Row],[Total Price]]&gt;3330.41,"OUTLIER","NORMAL")</f>
        <v>NORMAL</v>
      </c>
      <c r="S442" s="5">
        <v>0</v>
      </c>
    </row>
    <row r="443" spans="1:19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 s="6">
        <v>657.08</v>
      </c>
      <c r="O443">
        <v>2023</v>
      </c>
      <c r="P443" s="3" t="s">
        <v>4296</v>
      </c>
      <c r="Q443">
        <v>4</v>
      </c>
      <c r="R443" t="str">
        <f>IF(Table1_2[[#This Row],[Total Price]]&gt;3330.41,"OUTLIER","NORMAL")</f>
        <v>NORMAL</v>
      </c>
      <c r="S443" s="5">
        <v>0</v>
      </c>
    </row>
    <row r="444" spans="1:19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 s="6">
        <v>1574.7</v>
      </c>
      <c r="O444">
        <v>2024</v>
      </c>
      <c r="P444" s="3" t="s">
        <v>4291</v>
      </c>
      <c r="Q444">
        <v>2</v>
      </c>
      <c r="R444" t="str">
        <f>IF(Table1_2[[#This Row],[Total Price]]&gt;3330.41,"OUTLIER","NORMAL")</f>
        <v>NORMAL</v>
      </c>
      <c r="S444" s="5">
        <v>0</v>
      </c>
    </row>
    <row r="445" spans="1:19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4293</v>
      </c>
      <c r="M445" s="3" t="s">
        <v>4281</v>
      </c>
      <c r="N445" s="6">
        <v>139.28</v>
      </c>
      <c r="O445">
        <v>2024</v>
      </c>
      <c r="P445" s="3" t="s">
        <v>4291</v>
      </c>
      <c r="Q445">
        <v>2</v>
      </c>
      <c r="R445" t="str">
        <f>IF(Table1_2[[#This Row],[Total Price]]&gt;3330.41,"OUTLIER","NORMAL")</f>
        <v>NORMAL</v>
      </c>
      <c r="S445" s="5">
        <v>0</v>
      </c>
    </row>
    <row r="446" spans="1:19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 s="6">
        <v>135.16999999999999</v>
      </c>
      <c r="O446">
        <v>2024</v>
      </c>
      <c r="P446" s="3" t="s">
        <v>4292</v>
      </c>
      <c r="Q446">
        <v>2</v>
      </c>
      <c r="R446" t="str">
        <f>IF(Table1_2[[#This Row],[Total Price]]&gt;3330.41,"OUTLIER","NORMAL")</f>
        <v>NORMAL</v>
      </c>
      <c r="S446" s="5">
        <v>0</v>
      </c>
    </row>
    <row r="447" spans="1:19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 s="6">
        <v>487.21</v>
      </c>
      <c r="O447">
        <v>2024</v>
      </c>
      <c r="P447" s="3" t="s">
        <v>4297</v>
      </c>
      <c r="Q447">
        <v>1</v>
      </c>
      <c r="R447" t="str">
        <f>IF(Table1_2[[#This Row],[Total Price]]&gt;3330.41,"OUTLIER","NORMAL")</f>
        <v>NORMAL</v>
      </c>
      <c r="S447" s="5">
        <v>0</v>
      </c>
    </row>
    <row r="448" spans="1:19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 s="6">
        <v>2547.9</v>
      </c>
      <c r="O448">
        <v>2023</v>
      </c>
      <c r="P448" s="3" t="s">
        <v>4290</v>
      </c>
      <c r="Q448">
        <v>4</v>
      </c>
      <c r="R448" t="str">
        <f>IF(Table1_2[[#This Row],[Total Price]]&gt;3330.41,"OUTLIER","NORMAL")</f>
        <v>NORMAL</v>
      </c>
      <c r="S448" s="5">
        <v>0</v>
      </c>
    </row>
    <row r="449" spans="1:19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4293</v>
      </c>
      <c r="M449" s="3" t="s">
        <v>4281</v>
      </c>
      <c r="N449" s="6">
        <v>833.62</v>
      </c>
      <c r="O449">
        <v>2024</v>
      </c>
      <c r="P449" s="3" t="s">
        <v>4294</v>
      </c>
      <c r="Q449">
        <v>2</v>
      </c>
      <c r="R449" t="str">
        <f>IF(Table1_2[[#This Row],[Total Price]]&gt;3330.41,"OUTLIER","NORMAL")</f>
        <v>NORMAL</v>
      </c>
      <c r="S449" s="5">
        <v>0</v>
      </c>
    </row>
    <row r="450" spans="1:19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 s="6">
        <v>320</v>
      </c>
      <c r="O450">
        <v>2023</v>
      </c>
      <c r="P450" s="3" t="s">
        <v>4299</v>
      </c>
      <c r="Q450">
        <v>3</v>
      </c>
      <c r="R450" t="str">
        <f>IF(Table1_2[[#This Row],[Total Price]]&gt;3330.41,"OUTLIER","NORMAL")</f>
        <v>NORMAL</v>
      </c>
      <c r="S450" s="5">
        <v>0</v>
      </c>
    </row>
    <row r="451" spans="1:19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4293</v>
      </c>
      <c r="M451" s="3" t="s">
        <v>4278</v>
      </c>
      <c r="N451" s="6">
        <v>759.15000000000009</v>
      </c>
      <c r="O451">
        <v>2024</v>
      </c>
      <c r="P451" s="3" t="s">
        <v>4288</v>
      </c>
      <c r="Q451">
        <v>3</v>
      </c>
      <c r="R451" t="str">
        <f>IF(Table1_2[[#This Row],[Total Price]]&gt;3330.41,"OUTLIER","NORMAL")</f>
        <v>NORMAL</v>
      </c>
      <c r="S451" s="5">
        <v>0</v>
      </c>
    </row>
    <row r="452" spans="1:19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 s="6">
        <v>3075.5</v>
      </c>
      <c r="O452">
        <v>2024</v>
      </c>
      <c r="P452" s="3" t="s">
        <v>4287</v>
      </c>
      <c r="Q452">
        <v>1</v>
      </c>
      <c r="R452" t="str">
        <f>IF(Table1_2[[#This Row],[Total Price]]&gt;3330.41,"OUTLIER","NORMAL")</f>
        <v>NORMAL</v>
      </c>
      <c r="S452" s="5">
        <v>0</v>
      </c>
    </row>
    <row r="453" spans="1:19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 s="6">
        <v>183.18</v>
      </c>
      <c r="O453">
        <v>2023</v>
      </c>
      <c r="P453" s="3" t="s">
        <v>4294</v>
      </c>
      <c r="Q453">
        <v>2</v>
      </c>
      <c r="R453" t="str">
        <f>IF(Table1_2[[#This Row],[Total Price]]&gt;3330.41,"OUTLIER","NORMAL")</f>
        <v>NORMAL</v>
      </c>
      <c r="S453" s="5">
        <v>0</v>
      </c>
    </row>
    <row r="454" spans="1:19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 s="6">
        <v>75.78</v>
      </c>
      <c r="O454">
        <v>2023</v>
      </c>
      <c r="P454" s="3" t="s">
        <v>4298</v>
      </c>
      <c r="Q454">
        <v>3</v>
      </c>
      <c r="R454" t="str">
        <f>IF(Table1_2[[#This Row],[Total Price]]&gt;3330.41,"OUTLIER","NORMAL")</f>
        <v>NORMAL</v>
      </c>
      <c r="S454" s="5">
        <v>0</v>
      </c>
    </row>
    <row r="455" spans="1:19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 s="6">
        <v>675.57</v>
      </c>
      <c r="O455">
        <v>2025</v>
      </c>
      <c r="P455" s="3" t="s">
        <v>4291</v>
      </c>
      <c r="Q455">
        <v>2</v>
      </c>
      <c r="R455" t="str">
        <f>IF(Table1_2[[#This Row],[Total Price]]&gt;3330.41,"OUTLIER","NORMAL")</f>
        <v>NORMAL</v>
      </c>
      <c r="S455" s="5">
        <v>0</v>
      </c>
    </row>
    <row r="456" spans="1:19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 s="6">
        <v>109.29</v>
      </c>
      <c r="O456">
        <v>2024</v>
      </c>
      <c r="P456" s="3" t="s">
        <v>4295</v>
      </c>
      <c r="Q456">
        <v>4</v>
      </c>
      <c r="R456" t="str">
        <f>IF(Table1_2[[#This Row],[Total Price]]&gt;3330.41,"OUTLIER","NORMAL")</f>
        <v>NORMAL</v>
      </c>
      <c r="S456" s="5">
        <v>0</v>
      </c>
    </row>
    <row r="457" spans="1:19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 s="6">
        <v>639.83000000000004</v>
      </c>
      <c r="O457">
        <v>2024</v>
      </c>
      <c r="P457" s="3" t="s">
        <v>4297</v>
      </c>
      <c r="Q457">
        <v>1</v>
      </c>
      <c r="R457" t="str">
        <f>IF(Table1_2[[#This Row],[Total Price]]&gt;3330.41,"OUTLIER","NORMAL")</f>
        <v>NORMAL</v>
      </c>
      <c r="S457" s="5">
        <v>0</v>
      </c>
    </row>
    <row r="458" spans="1:19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 s="6">
        <v>314.05</v>
      </c>
      <c r="O458">
        <v>2023</v>
      </c>
      <c r="P458" s="3" t="s">
        <v>4292</v>
      </c>
      <c r="Q458">
        <v>2</v>
      </c>
      <c r="R458" t="str">
        <f>IF(Table1_2[[#This Row],[Total Price]]&gt;3330.41,"OUTLIER","NORMAL")</f>
        <v>NORMAL</v>
      </c>
      <c r="S458" s="5">
        <v>0</v>
      </c>
    </row>
    <row r="459" spans="1:19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 s="6">
        <v>2463.3200000000002</v>
      </c>
      <c r="O459">
        <v>2025</v>
      </c>
      <c r="P459" s="3" t="s">
        <v>4291</v>
      </c>
      <c r="Q459">
        <v>2</v>
      </c>
      <c r="R459" t="str">
        <f>IF(Table1_2[[#This Row],[Total Price]]&gt;3330.41,"OUTLIER","NORMAL")</f>
        <v>NORMAL</v>
      </c>
      <c r="S459" s="5">
        <v>0</v>
      </c>
    </row>
    <row r="460" spans="1:19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 s="6">
        <v>2042.32</v>
      </c>
      <c r="O460">
        <v>2024</v>
      </c>
      <c r="P460" s="3" t="s">
        <v>4298</v>
      </c>
      <c r="Q460">
        <v>3</v>
      </c>
      <c r="R460" t="str">
        <f>IF(Table1_2[[#This Row],[Total Price]]&gt;3330.41,"OUTLIER","NORMAL")</f>
        <v>NORMAL</v>
      </c>
      <c r="S460" s="5">
        <v>0</v>
      </c>
    </row>
    <row r="461" spans="1:19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4293</v>
      </c>
      <c r="M461" s="3" t="s">
        <v>4278</v>
      </c>
      <c r="N461" s="6">
        <v>334.39</v>
      </c>
      <c r="O461">
        <v>2024</v>
      </c>
      <c r="P461" s="3" t="s">
        <v>4298</v>
      </c>
      <c r="Q461">
        <v>3</v>
      </c>
      <c r="R461" t="str">
        <f>IF(Table1_2[[#This Row],[Total Price]]&gt;3330.41,"OUTLIER","NORMAL")</f>
        <v>NORMAL</v>
      </c>
      <c r="S461" s="5">
        <v>0</v>
      </c>
    </row>
    <row r="462" spans="1:19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 s="6">
        <v>144.25</v>
      </c>
      <c r="O462">
        <v>2024</v>
      </c>
      <c r="P462" s="3" t="s">
        <v>4290</v>
      </c>
      <c r="Q462">
        <v>4</v>
      </c>
      <c r="R462" t="str">
        <f>IF(Table1_2[[#This Row],[Total Price]]&gt;3330.41,"OUTLIER","NORMAL")</f>
        <v>NORMAL</v>
      </c>
      <c r="S462" s="5">
        <v>0</v>
      </c>
    </row>
    <row r="463" spans="1:19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 s="6">
        <v>401.82</v>
      </c>
      <c r="O463">
        <v>2024</v>
      </c>
      <c r="P463" s="3" t="s">
        <v>4292</v>
      </c>
      <c r="Q463">
        <v>2</v>
      </c>
      <c r="R463" t="str">
        <f>IF(Table1_2[[#This Row],[Total Price]]&gt;3330.41,"OUTLIER","NORMAL")</f>
        <v>NORMAL</v>
      </c>
      <c r="S463" s="5">
        <v>0</v>
      </c>
    </row>
    <row r="464" spans="1:19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4293</v>
      </c>
      <c r="M464" s="3" t="s">
        <v>4279</v>
      </c>
      <c r="N464" s="6">
        <v>252.68</v>
      </c>
      <c r="O464">
        <v>2025</v>
      </c>
      <c r="P464" s="3" t="s">
        <v>4297</v>
      </c>
      <c r="Q464">
        <v>1</v>
      </c>
      <c r="R464" t="str">
        <f>IF(Table1_2[[#This Row],[Total Price]]&gt;3330.41,"OUTLIER","NORMAL")</f>
        <v>NORMAL</v>
      </c>
      <c r="S464" s="5">
        <v>0</v>
      </c>
    </row>
    <row r="465" spans="1:19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 s="6">
        <v>3313.9</v>
      </c>
      <c r="O465">
        <v>2023</v>
      </c>
      <c r="P465" s="3" t="s">
        <v>4291</v>
      </c>
      <c r="Q465">
        <v>2</v>
      </c>
      <c r="R465" t="str">
        <f>IF(Table1_2[[#This Row],[Total Price]]&gt;3330.41,"OUTLIER","NORMAL")</f>
        <v>NORMAL</v>
      </c>
      <c r="S465" s="5">
        <v>0</v>
      </c>
    </row>
    <row r="466" spans="1:19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 s="6">
        <v>1737.68</v>
      </c>
      <c r="O466">
        <v>2023</v>
      </c>
      <c r="P466" s="3" t="s">
        <v>4297</v>
      </c>
      <c r="Q466">
        <v>1</v>
      </c>
      <c r="R466" t="str">
        <f>IF(Table1_2[[#This Row],[Total Price]]&gt;3330.41,"OUTLIER","NORMAL")</f>
        <v>NORMAL</v>
      </c>
      <c r="S466" s="5">
        <v>0</v>
      </c>
    </row>
    <row r="467" spans="1:19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4293</v>
      </c>
      <c r="M467" s="3" t="s">
        <v>4282</v>
      </c>
      <c r="N467" s="6">
        <v>2567.4499999999998</v>
      </c>
      <c r="O467">
        <v>2024</v>
      </c>
      <c r="P467" s="3" t="s">
        <v>4289</v>
      </c>
      <c r="Q467">
        <v>1</v>
      </c>
      <c r="R467" t="str">
        <f>IF(Table1_2[[#This Row],[Total Price]]&gt;3330.41,"OUTLIER","NORMAL")</f>
        <v>NORMAL</v>
      </c>
      <c r="S467" s="5">
        <v>0</v>
      </c>
    </row>
    <row r="468" spans="1:19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 s="6">
        <v>432.47</v>
      </c>
      <c r="O468">
        <v>2023</v>
      </c>
      <c r="P468" s="3" t="s">
        <v>4298</v>
      </c>
      <c r="Q468">
        <v>3</v>
      </c>
      <c r="R468" t="str">
        <f>IF(Table1_2[[#This Row],[Total Price]]&gt;3330.41,"OUTLIER","NORMAL")</f>
        <v>NORMAL</v>
      </c>
      <c r="S468" s="5">
        <v>0</v>
      </c>
    </row>
    <row r="469" spans="1:19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 s="6">
        <v>45.94</v>
      </c>
      <c r="O469">
        <v>2024</v>
      </c>
      <c r="P469" s="3" t="s">
        <v>4288</v>
      </c>
      <c r="Q469">
        <v>3</v>
      </c>
      <c r="R469" t="str">
        <f>IF(Table1_2[[#This Row],[Total Price]]&gt;3330.41,"OUTLIER","NORMAL")</f>
        <v>NORMAL</v>
      </c>
      <c r="S469" s="5">
        <v>0</v>
      </c>
    </row>
    <row r="470" spans="1:19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 s="6">
        <v>418.36</v>
      </c>
      <c r="O470">
        <v>2025</v>
      </c>
      <c r="P470" s="3" t="s">
        <v>4292</v>
      </c>
      <c r="Q470">
        <v>2</v>
      </c>
      <c r="R470" t="str">
        <f>IF(Table1_2[[#This Row],[Total Price]]&gt;3330.41,"OUTLIER","NORMAL")</f>
        <v>NORMAL</v>
      </c>
      <c r="S470" s="5">
        <v>0</v>
      </c>
    </row>
    <row r="471" spans="1:19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4293</v>
      </c>
      <c r="M471" s="3" t="s">
        <v>4281</v>
      </c>
      <c r="N471" s="6">
        <v>3384.9</v>
      </c>
      <c r="O471">
        <v>2023</v>
      </c>
      <c r="P471" s="3" t="s">
        <v>4295</v>
      </c>
      <c r="Q471">
        <v>4</v>
      </c>
      <c r="R471" t="str">
        <f>IF(Table1_2[[#This Row],[Total Price]]&gt;3330.41,"OUTLIER","NORMAL")</f>
        <v>OUTLIER</v>
      </c>
      <c r="S471" s="5">
        <v>0</v>
      </c>
    </row>
    <row r="472" spans="1:19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 s="6">
        <v>1054.48</v>
      </c>
      <c r="O472">
        <v>2023</v>
      </c>
      <c r="P472" s="3" t="s">
        <v>4299</v>
      </c>
      <c r="Q472">
        <v>3</v>
      </c>
      <c r="R472" t="str">
        <f>IF(Table1_2[[#This Row],[Total Price]]&gt;3330.41,"OUTLIER","NORMAL")</f>
        <v>NORMAL</v>
      </c>
      <c r="S472" s="5">
        <v>0</v>
      </c>
    </row>
    <row r="473" spans="1:19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 s="6">
        <v>2756.35</v>
      </c>
      <c r="O473">
        <v>2025</v>
      </c>
      <c r="P473" s="3" t="s">
        <v>4294</v>
      </c>
      <c r="Q473">
        <v>2</v>
      </c>
      <c r="R473" t="str">
        <f>IF(Table1_2[[#This Row],[Total Price]]&gt;3330.41,"OUTLIER","NORMAL")</f>
        <v>NORMAL</v>
      </c>
      <c r="S473" s="5">
        <v>0</v>
      </c>
    </row>
    <row r="474" spans="1:19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 s="6">
        <v>1524.36</v>
      </c>
      <c r="O474">
        <v>2023</v>
      </c>
      <c r="P474" s="3" t="s">
        <v>4287</v>
      </c>
      <c r="Q474">
        <v>1</v>
      </c>
      <c r="R474" t="str">
        <f>IF(Table1_2[[#This Row],[Total Price]]&gt;3330.41,"OUTLIER","NORMAL")</f>
        <v>NORMAL</v>
      </c>
      <c r="S474" s="5">
        <v>0</v>
      </c>
    </row>
    <row r="475" spans="1:19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4293</v>
      </c>
      <c r="M475" s="3" t="s">
        <v>4281</v>
      </c>
      <c r="N475" s="6">
        <v>29.86</v>
      </c>
      <c r="O475">
        <v>2025</v>
      </c>
      <c r="P475" s="3" t="s">
        <v>4289</v>
      </c>
      <c r="Q475">
        <v>1</v>
      </c>
      <c r="R475" t="str">
        <f>IF(Table1_2[[#This Row],[Total Price]]&gt;3330.41,"OUTLIER","NORMAL")</f>
        <v>NORMAL</v>
      </c>
      <c r="S475" s="5">
        <v>0</v>
      </c>
    </row>
    <row r="476" spans="1:19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 s="6">
        <v>688.02</v>
      </c>
      <c r="O476">
        <v>2023</v>
      </c>
      <c r="P476" s="3" t="s">
        <v>4295</v>
      </c>
      <c r="Q476">
        <v>4</v>
      </c>
      <c r="R476" t="str">
        <f>IF(Table1_2[[#This Row],[Total Price]]&gt;3330.41,"OUTLIER","NORMAL")</f>
        <v>NORMAL</v>
      </c>
      <c r="S476" s="5">
        <v>0</v>
      </c>
    </row>
    <row r="477" spans="1:19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 s="6">
        <v>877.24</v>
      </c>
      <c r="O477">
        <v>2025</v>
      </c>
      <c r="P477" s="3" t="s">
        <v>4294</v>
      </c>
      <c r="Q477">
        <v>2</v>
      </c>
      <c r="R477" t="str">
        <f>IF(Table1_2[[#This Row],[Total Price]]&gt;3330.41,"OUTLIER","NORMAL")</f>
        <v>NORMAL</v>
      </c>
      <c r="S477" s="5">
        <v>0</v>
      </c>
    </row>
    <row r="478" spans="1:19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 s="6">
        <v>1027.18</v>
      </c>
      <c r="O478">
        <v>2024</v>
      </c>
      <c r="P478" s="3" t="s">
        <v>4287</v>
      </c>
      <c r="Q478">
        <v>1</v>
      </c>
      <c r="R478" t="str">
        <f>IF(Table1_2[[#This Row],[Total Price]]&gt;3330.41,"OUTLIER","NORMAL")</f>
        <v>NORMAL</v>
      </c>
      <c r="S478" s="5">
        <v>0</v>
      </c>
    </row>
    <row r="479" spans="1:19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 s="6">
        <v>507.48</v>
      </c>
      <c r="O479">
        <v>2025</v>
      </c>
      <c r="P479" s="3" t="s">
        <v>4297</v>
      </c>
      <c r="Q479">
        <v>1</v>
      </c>
      <c r="R479" t="str">
        <f>IF(Table1_2[[#This Row],[Total Price]]&gt;3330.41,"OUTLIER","NORMAL")</f>
        <v>NORMAL</v>
      </c>
      <c r="S479" s="5">
        <v>0</v>
      </c>
    </row>
    <row r="480" spans="1:19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 s="6">
        <v>188.31</v>
      </c>
      <c r="O480">
        <v>2024</v>
      </c>
      <c r="P480" s="3" t="s">
        <v>4295</v>
      </c>
      <c r="Q480">
        <v>4</v>
      </c>
      <c r="R480" t="str">
        <f>IF(Table1_2[[#This Row],[Total Price]]&gt;3330.41,"OUTLIER","NORMAL")</f>
        <v>NORMAL</v>
      </c>
      <c r="S480" s="5">
        <v>0</v>
      </c>
    </row>
    <row r="481" spans="1:19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4293</v>
      </c>
      <c r="M481" s="3" t="s">
        <v>4282</v>
      </c>
      <c r="N481" s="6">
        <v>101.16</v>
      </c>
      <c r="O481">
        <v>2023</v>
      </c>
      <c r="P481" s="3" t="s">
        <v>4289</v>
      </c>
      <c r="Q481">
        <v>1</v>
      </c>
      <c r="R481" t="str">
        <f>IF(Table1_2[[#This Row],[Total Price]]&gt;3330.41,"OUTLIER","NORMAL")</f>
        <v>NORMAL</v>
      </c>
      <c r="S481" s="5">
        <v>0</v>
      </c>
    </row>
    <row r="482" spans="1:19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 s="6">
        <v>335.1</v>
      </c>
      <c r="O482">
        <v>2023</v>
      </c>
      <c r="P482" s="3" t="s">
        <v>4292</v>
      </c>
      <c r="Q482">
        <v>2</v>
      </c>
      <c r="R482" t="str">
        <f>IF(Table1_2[[#This Row],[Total Price]]&gt;3330.41,"OUTLIER","NORMAL")</f>
        <v>NORMAL</v>
      </c>
      <c r="S482" s="5">
        <v>0</v>
      </c>
    </row>
    <row r="483" spans="1:19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 s="6">
        <v>1939.4</v>
      </c>
      <c r="O483">
        <v>2023</v>
      </c>
      <c r="P483" s="3" t="s">
        <v>4294</v>
      </c>
      <c r="Q483">
        <v>2</v>
      </c>
      <c r="R483" t="str">
        <f>IF(Table1_2[[#This Row],[Total Price]]&gt;3330.41,"OUTLIER","NORMAL")</f>
        <v>NORMAL</v>
      </c>
      <c r="S483" s="5">
        <v>0</v>
      </c>
    </row>
    <row r="484" spans="1:19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4293</v>
      </c>
      <c r="M484" s="3" t="s">
        <v>4278</v>
      </c>
      <c r="N484" s="6">
        <v>1144.23</v>
      </c>
      <c r="O484">
        <v>2025</v>
      </c>
      <c r="P484" s="3" t="s">
        <v>4297</v>
      </c>
      <c r="Q484">
        <v>1</v>
      </c>
      <c r="R484" t="str">
        <f>IF(Table1_2[[#This Row],[Total Price]]&gt;3330.41,"OUTLIER","NORMAL")</f>
        <v>NORMAL</v>
      </c>
      <c r="S484" s="5">
        <v>0</v>
      </c>
    </row>
    <row r="485" spans="1:19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 s="6">
        <v>1739.6</v>
      </c>
      <c r="O485">
        <v>2023</v>
      </c>
      <c r="P485" s="3" t="s">
        <v>4287</v>
      </c>
      <c r="Q485">
        <v>1</v>
      </c>
      <c r="R485" t="str">
        <f>IF(Table1_2[[#This Row],[Total Price]]&gt;3330.41,"OUTLIER","NORMAL")</f>
        <v>NORMAL</v>
      </c>
      <c r="S485" s="5">
        <v>0</v>
      </c>
    </row>
    <row r="486" spans="1:19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4293</v>
      </c>
      <c r="M486" s="3" t="s">
        <v>4281</v>
      </c>
      <c r="N486" s="6">
        <v>60.04</v>
      </c>
      <c r="O486">
        <v>2024</v>
      </c>
      <c r="P486" s="3" t="s">
        <v>4291</v>
      </c>
      <c r="Q486">
        <v>2</v>
      </c>
      <c r="R486" t="str">
        <f>IF(Table1_2[[#This Row],[Total Price]]&gt;3330.41,"OUTLIER","NORMAL")</f>
        <v>NORMAL</v>
      </c>
      <c r="S486" s="5">
        <v>0</v>
      </c>
    </row>
    <row r="487" spans="1:19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 s="6">
        <v>1214.3699999999999</v>
      </c>
      <c r="O487">
        <v>2023</v>
      </c>
      <c r="P487" s="3" t="s">
        <v>4288</v>
      </c>
      <c r="Q487">
        <v>3</v>
      </c>
      <c r="R487" t="str">
        <f>IF(Table1_2[[#This Row],[Total Price]]&gt;3330.41,"OUTLIER","NORMAL")</f>
        <v>NORMAL</v>
      </c>
      <c r="S487" s="5">
        <v>0</v>
      </c>
    </row>
    <row r="488" spans="1:19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 s="6">
        <v>2445.04</v>
      </c>
      <c r="O488">
        <v>2023</v>
      </c>
      <c r="P488" s="3" t="s">
        <v>4289</v>
      </c>
      <c r="Q488">
        <v>1</v>
      </c>
      <c r="R488" t="str">
        <f>IF(Table1_2[[#This Row],[Total Price]]&gt;3330.41,"OUTLIER","NORMAL")</f>
        <v>NORMAL</v>
      </c>
      <c r="S488" s="5">
        <v>0</v>
      </c>
    </row>
    <row r="489" spans="1:19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 s="6">
        <v>1039.56</v>
      </c>
      <c r="O489">
        <v>2023</v>
      </c>
      <c r="P489" s="3" t="s">
        <v>4297</v>
      </c>
      <c r="Q489">
        <v>1</v>
      </c>
      <c r="R489" t="str">
        <f>IF(Table1_2[[#This Row],[Total Price]]&gt;3330.41,"OUTLIER","NORMAL")</f>
        <v>NORMAL</v>
      </c>
      <c r="S489" s="5">
        <v>0</v>
      </c>
    </row>
    <row r="490" spans="1:19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 s="6">
        <v>36.65</v>
      </c>
      <c r="O490">
        <v>2024</v>
      </c>
      <c r="P490" s="3" t="s">
        <v>4296</v>
      </c>
      <c r="Q490">
        <v>4</v>
      </c>
      <c r="R490" t="str">
        <f>IF(Table1_2[[#This Row],[Total Price]]&gt;3330.41,"OUTLIER","NORMAL")</f>
        <v>NORMAL</v>
      </c>
      <c r="S490" s="5">
        <v>0</v>
      </c>
    </row>
    <row r="491" spans="1:19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 s="6">
        <v>448.02</v>
      </c>
      <c r="O491">
        <v>2023</v>
      </c>
      <c r="P491" s="3" t="s">
        <v>4299</v>
      </c>
      <c r="Q491">
        <v>3</v>
      </c>
      <c r="R491" t="str">
        <f>IF(Table1_2[[#This Row],[Total Price]]&gt;3330.41,"OUTLIER","NORMAL")</f>
        <v>NORMAL</v>
      </c>
      <c r="S491" s="5">
        <v>0</v>
      </c>
    </row>
    <row r="492" spans="1:19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4293</v>
      </c>
      <c r="M492" s="3" t="s">
        <v>4281</v>
      </c>
      <c r="N492" s="6">
        <v>2339.0500000000002</v>
      </c>
      <c r="O492">
        <v>2024</v>
      </c>
      <c r="P492" s="3" t="s">
        <v>4298</v>
      </c>
      <c r="Q492">
        <v>3</v>
      </c>
      <c r="R492" t="str">
        <f>IF(Table1_2[[#This Row],[Total Price]]&gt;3330.41,"OUTLIER","NORMAL")</f>
        <v>NORMAL</v>
      </c>
      <c r="S492" s="5">
        <v>0</v>
      </c>
    </row>
    <row r="493" spans="1:19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 s="6">
        <v>2103.5</v>
      </c>
      <c r="O493">
        <v>2023</v>
      </c>
      <c r="P493" s="3" t="s">
        <v>4287</v>
      </c>
      <c r="Q493">
        <v>1</v>
      </c>
      <c r="R493" t="str">
        <f>IF(Table1_2[[#This Row],[Total Price]]&gt;3330.41,"OUTLIER","NORMAL")</f>
        <v>NORMAL</v>
      </c>
      <c r="S493" s="5">
        <v>0</v>
      </c>
    </row>
    <row r="494" spans="1:19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 s="6">
        <v>3032.6</v>
      </c>
      <c r="O494">
        <v>2023</v>
      </c>
      <c r="P494" s="3" t="s">
        <v>4290</v>
      </c>
      <c r="Q494">
        <v>4</v>
      </c>
      <c r="R494" t="str">
        <f>IF(Table1_2[[#This Row],[Total Price]]&gt;3330.41,"OUTLIER","NORMAL")</f>
        <v>NORMAL</v>
      </c>
      <c r="S494" s="5">
        <v>0</v>
      </c>
    </row>
    <row r="495" spans="1:19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 s="6">
        <v>420.26</v>
      </c>
      <c r="O495">
        <v>2025</v>
      </c>
      <c r="P495" s="3" t="s">
        <v>4287</v>
      </c>
      <c r="Q495">
        <v>1</v>
      </c>
      <c r="R495" t="str">
        <f>IF(Table1_2[[#This Row],[Total Price]]&gt;3330.41,"OUTLIER","NORMAL")</f>
        <v>NORMAL</v>
      </c>
      <c r="S495" s="5">
        <v>0</v>
      </c>
    </row>
    <row r="496" spans="1:19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 s="6">
        <v>1517.37</v>
      </c>
      <c r="O496">
        <v>2023</v>
      </c>
      <c r="P496" s="3" t="s">
        <v>4298</v>
      </c>
      <c r="Q496">
        <v>3</v>
      </c>
      <c r="R496" t="str">
        <f>IF(Table1_2[[#This Row],[Total Price]]&gt;3330.41,"OUTLIER","NORMAL")</f>
        <v>NORMAL</v>
      </c>
      <c r="S496" s="5">
        <v>0</v>
      </c>
    </row>
    <row r="497" spans="1:19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 s="6">
        <v>1974.92</v>
      </c>
      <c r="O497">
        <v>2025</v>
      </c>
      <c r="P497" s="3" t="s">
        <v>4292</v>
      </c>
      <c r="Q497">
        <v>2</v>
      </c>
      <c r="R497" t="str">
        <f>IF(Table1_2[[#This Row],[Total Price]]&gt;3330.41,"OUTLIER","NORMAL")</f>
        <v>NORMAL</v>
      </c>
      <c r="S497" s="5">
        <v>0</v>
      </c>
    </row>
    <row r="498" spans="1:19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 s="6">
        <v>603.63</v>
      </c>
      <c r="O498">
        <v>2025</v>
      </c>
      <c r="P498" s="3" t="s">
        <v>4297</v>
      </c>
      <c r="Q498">
        <v>1</v>
      </c>
      <c r="R498" t="str">
        <f>IF(Table1_2[[#This Row],[Total Price]]&gt;3330.41,"OUTLIER","NORMAL")</f>
        <v>NORMAL</v>
      </c>
      <c r="S498" s="5">
        <v>0</v>
      </c>
    </row>
    <row r="499" spans="1:19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4293</v>
      </c>
      <c r="M499" s="3" t="s">
        <v>4282</v>
      </c>
      <c r="N499" s="6">
        <v>336.87</v>
      </c>
      <c r="O499">
        <v>2024</v>
      </c>
      <c r="P499" s="3" t="s">
        <v>4290</v>
      </c>
      <c r="Q499">
        <v>4</v>
      </c>
      <c r="R499" t="str">
        <f>IF(Table1_2[[#This Row],[Total Price]]&gt;3330.41,"OUTLIER","NORMAL")</f>
        <v>NORMAL</v>
      </c>
      <c r="S499" s="5">
        <v>0</v>
      </c>
    </row>
    <row r="500" spans="1:19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 s="6">
        <v>530.24</v>
      </c>
      <c r="O500">
        <v>2023</v>
      </c>
      <c r="P500" s="3" t="s">
        <v>4298</v>
      </c>
      <c r="Q500">
        <v>3</v>
      </c>
      <c r="R500" t="str">
        <f>IF(Table1_2[[#This Row],[Total Price]]&gt;3330.41,"OUTLIER","NORMAL")</f>
        <v>NORMAL</v>
      </c>
      <c r="S500" s="5">
        <v>0</v>
      </c>
    </row>
    <row r="501" spans="1:19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 s="6">
        <v>1618.38</v>
      </c>
      <c r="O501">
        <v>2023</v>
      </c>
      <c r="P501" s="3" t="s">
        <v>4294</v>
      </c>
      <c r="Q501">
        <v>2</v>
      </c>
      <c r="R501" t="str">
        <f>IF(Table1_2[[#This Row],[Total Price]]&gt;3330.41,"OUTLIER","NORMAL")</f>
        <v>NORMAL</v>
      </c>
      <c r="S501" s="5">
        <v>0</v>
      </c>
    </row>
    <row r="502" spans="1:19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 s="6">
        <v>2542.9499999999998</v>
      </c>
      <c r="O502">
        <v>2024</v>
      </c>
      <c r="P502" s="3" t="s">
        <v>4294</v>
      </c>
      <c r="Q502">
        <v>2</v>
      </c>
      <c r="R502" t="str">
        <f>IF(Table1_2[[#This Row],[Total Price]]&gt;3330.41,"OUTLIER","NORMAL")</f>
        <v>NORMAL</v>
      </c>
      <c r="S502" s="5">
        <v>0</v>
      </c>
    </row>
    <row r="503" spans="1:19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 s="6">
        <v>813.84</v>
      </c>
      <c r="O503">
        <v>2024</v>
      </c>
      <c r="P503" s="3" t="s">
        <v>4289</v>
      </c>
      <c r="Q503">
        <v>1</v>
      </c>
      <c r="R503" t="str">
        <f>IF(Table1_2[[#This Row],[Total Price]]&gt;3330.41,"OUTLIER","NORMAL")</f>
        <v>NORMAL</v>
      </c>
      <c r="S503" s="5">
        <v>0</v>
      </c>
    </row>
    <row r="504" spans="1:19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 s="6">
        <v>1695.75</v>
      </c>
      <c r="O504">
        <v>2023</v>
      </c>
      <c r="P504" s="3" t="s">
        <v>4291</v>
      </c>
      <c r="Q504">
        <v>2</v>
      </c>
      <c r="R504" t="str">
        <f>IF(Table1_2[[#This Row],[Total Price]]&gt;3330.41,"OUTLIER","NORMAL")</f>
        <v>NORMAL</v>
      </c>
      <c r="S504" s="5">
        <v>0</v>
      </c>
    </row>
    <row r="505" spans="1:19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 s="6">
        <v>410.52</v>
      </c>
      <c r="O505">
        <v>2023</v>
      </c>
      <c r="P505" s="3" t="s">
        <v>4288</v>
      </c>
      <c r="Q505">
        <v>3</v>
      </c>
      <c r="R505" t="str">
        <f>IF(Table1_2[[#This Row],[Total Price]]&gt;3330.41,"OUTLIER","NORMAL")</f>
        <v>NORMAL</v>
      </c>
      <c r="S505" s="5">
        <v>0</v>
      </c>
    </row>
    <row r="506" spans="1:19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 s="6">
        <v>929</v>
      </c>
      <c r="O506">
        <v>2025</v>
      </c>
      <c r="P506" s="3" t="s">
        <v>4292</v>
      </c>
      <c r="Q506">
        <v>2</v>
      </c>
      <c r="R506" t="str">
        <f>IF(Table1_2[[#This Row],[Total Price]]&gt;3330.41,"OUTLIER","NORMAL")</f>
        <v>NORMAL</v>
      </c>
      <c r="S506" s="5">
        <v>0</v>
      </c>
    </row>
    <row r="507" spans="1:19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4293</v>
      </c>
      <c r="M507" s="3" t="s">
        <v>4280</v>
      </c>
      <c r="N507" s="6">
        <v>869.94</v>
      </c>
      <c r="O507">
        <v>2023</v>
      </c>
      <c r="P507" s="3" t="s">
        <v>4292</v>
      </c>
      <c r="Q507">
        <v>2</v>
      </c>
      <c r="R507" t="str">
        <f>IF(Table1_2[[#This Row],[Total Price]]&gt;3330.41,"OUTLIER","NORMAL")</f>
        <v>NORMAL</v>
      </c>
      <c r="S507" s="5">
        <v>0</v>
      </c>
    </row>
    <row r="508" spans="1:19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 s="6">
        <v>87.34</v>
      </c>
      <c r="O508">
        <v>2023</v>
      </c>
      <c r="P508" s="3" t="s">
        <v>4298</v>
      </c>
      <c r="Q508">
        <v>3</v>
      </c>
      <c r="R508" t="str">
        <f>IF(Table1_2[[#This Row],[Total Price]]&gt;3330.41,"OUTLIER","NORMAL")</f>
        <v>NORMAL</v>
      </c>
      <c r="S508" s="5">
        <v>0</v>
      </c>
    </row>
    <row r="509" spans="1:19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 s="6">
        <v>171.59</v>
      </c>
      <c r="O509">
        <v>2023</v>
      </c>
      <c r="P509" s="3" t="s">
        <v>4298</v>
      </c>
      <c r="Q509">
        <v>3</v>
      </c>
      <c r="R509" t="str">
        <f>IF(Table1_2[[#This Row],[Total Price]]&gt;3330.41,"OUTLIER","NORMAL")</f>
        <v>NORMAL</v>
      </c>
      <c r="S509" s="5">
        <v>0</v>
      </c>
    </row>
    <row r="510" spans="1:19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4293</v>
      </c>
      <c r="M510" s="3" t="s">
        <v>4279</v>
      </c>
      <c r="N510" s="6">
        <v>558.27</v>
      </c>
      <c r="O510">
        <v>2025</v>
      </c>
      <c r="P510" s="3" t="s">
        <v>4291</v>
      </c>
      <c r="Q510">
        <v>2</v>
      </c>
      <c r="R510" t="str">
        <f>IF(Table1_2[[#This Row],[Total Price]]&gt;3330.41,"OUTLIER","NORMAL")</f>
        <v>NORMAL</v>
      </c>
      <c r="S510" s="5">
        <v>0</v>
      </c>
    </row>
    <row r="511" spans="1:19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 s="6">
        <v>850.06</v>
      </c>
      <c r="O511">
        <v>2023</v>
      </c>
      <c r="P511" s="3" t="s">
        <v>4289</v>
      </c>
      <c r="Q511">
        <v>1</v>
      </c>
      <c r="R511" t="str">
        <f>IF(Table1_2[[#This Row],[Total Price]]&gt;3330.41,"OUTLIER","NORMAL")</f>
        <v>NORMAL</v>
      </c>
      <c r="S511" s="5">
        <v>0</v>
      </c>
    </row>
    <row r="512" spans="1:19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 s="6">
        <v>376.76</v>
      </c>
      <c r="O512">
        <v>2024</v>
      </c>
      <c r="P512" s="3" t="s">
        <v>4296</v>
      </c>
      <c r="Q512">
        <v>4</v>
      </c>
      <c r="R512" t="str">
        <f>IF(Table1_2[[#This Row],[Total Price]]&gt;3330.41,"OUTLIER","NORMAL")</f>
        <v>NORMAL</v>
      </c>
      <c r="S512" s="5">
        <v>0</v>
      </c>
    </row>
    <row r="513" spans="1:19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 s="6">
        <v>2876.2</v>
      </c>
      <c r="O513">
        <v>2024</v>
      </c>
      <c r="P513" s="3" t="s">
        <v>4297</v>
      </c>
      <c r="Q513">
        <v>1</v>
      </c>
      <c r="R513" t="str">
        <f>IF(Table1_2[[#This Row],[Total Price]]&gt;3330.41,"OUTLIER","NORMAL")</f>
        <v>NORMAL</v>
      </c>
      <c r="S513" s="5">
        <v>0</v>
      </c>
    </row>
    <row r="514" spans="1:19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 s="6">
        <v>1704.06</v>
      </c>
      <c r="O514">
        <v>2024</v>
      </c>
      <c r="P514" s="3" t="s">
        <v>4299</v>
      </c>
      <c r="Q514">
        <v>3</v>
      </c>
      <c r="R514" t="str">
        <f>IF(Table1_2[[#This Row],[Total Price]]&gt;3330.41,"OUTLIER","NORMAL")</f>
        <v>NORMAL</v>
      </c>
      <c r="S514" s="5">
        <v>0</v>
      </c>
    </row>
    <row r="515" spans="1:19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4293</v>
      </c>
      <c r="M515" s="3" t="s">
        <v>4279</v>
      </c>
      <c r="N515" s="6">
        <v>284.64</v>
      </c>
      <c r="O515">
        <v>2025</v>
      </c>
      <c r="P515" s="3" t="s">
        <v>4289</v>
      </c>
      <c r="Q515">
        <v>1</v>
      </c>
      <c r="R515" t="str">
        <f>IF(Table1_2[[#This Row],[Total Price]]&gt;3330.41,"OUTLIER","NORMAL")</f>
        <v>NORMAL</v>
      </c>
      <c r="S515" s="5">
        <v>0</v>
      </c>
    </row>
    <row r="516" spans="1:19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 s="6">
        <v>912.44999999999993</v>
      </c>
      <c r="O516">
        <v>2023</v>
      </c>
      <c r="P516" s="3" t="s">
        <v>4294</v>
      </c>
      <c r="Q516">
        <v>2</v>
      </c>
      <c r="R516" t="str">
        <f>IF(Table1_2[[#This Row],[Total Price]]&gt;3330.41,"OUTLIER","NORMAL")</f>
        <v>NORMAL</v>
      </c>
      <c r="S516" s="5">
        <v>0</v>
      </c>
    </row>
    <row r="517" spans="1:19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 s="6">
        <v>1660.56</v>
      </c>
      <c r="O517">
        <v>2023</v>
      </c>
      <c r="P517" s="3" t="s">
        <v>4297</v>
      </c>
      <c r="Q517">
        <v>1</v>
      </c>
      <c r="R517" t="str">
        <f>IF(Table1_2[[#This Row],[Total Price]]&gt;3330.41,"OUTLIER","NORMAL")</f>
        <v>NORMAL</v>
      </c>
      <c r="S517" s="5">
        <v>0</v>
      </c>
    </row>
    <row r="518" spans="1:19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4293</v>
      </c>
      <c r="M518" s="3" t="s">
        <v>4281</v>
      </c>
      <c r="N518" s="6">
        <v>500.97</v>
      </c>
      <c r="O518">
        <v>2024</v>
      </c>
      <c r="P518" s="3" t="s">
        <v>4294</v>
      </c>
      <c r="Q518">
        <v>2</v>
      </c>
      <c r="R518" t="str">
        <f>IF(Table1_2[[#This Row],[Total Price]]&gt;3330.41,"OUTLIER","NORMAL")</f>
        <v>NORMAL</v>
      </c>
      <c r="S518" s="5">
        <v>0</v>
      </c>
    </row>
    <row r="519" spans="1:19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 s="6">
        <v>793.4</v>
      </c>
      <c r="O519">
        <v>2024</v>
      </c>
      <c r="P519" s="3" t="s">
        <v>4294</v>
      </c>
      <c r="Q519">
        <v>2</v>
      </c>
      <c r="R519" t="str">
        <f>IF(Table1_2[[#This Row],[Total Price]]&gt;3330.41,"OUTLIER","NORMAL")</f>
        <v>NORMAL</v>
      </c>
      <c r="S519" s="5">
        <v>0</v>
      </c>
    </row>
    <row r="520" spans="1:19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 s="6">
        <v>1614.32</v>
      </c>
      <c r="O520">
        <v>2025</v>
      </c>
      <c r="P520" s="3" t="s">
        <v>4292</v>
      </c>
      <c r="Q520">
        <v>2</v>
      </c>
      <c r="R520" t="str">
        <f>IF(Table1_2[[#This Row],[Total Price]]&gt;3330.41,"OUTLIER","NORMAL")</f>
        <v>NORMAL</v>
      </c>
      <c r="S520" s="5">
        <v>0</v>
      </c>
    </row>
    <row r="521" spans="1:19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 s="6">
        <v>1857.16</v>
      </c>
      <c r="O521">
        <v>2025</v>
      </c>
      <c r="P521" s="3" t="s">
        <v>4291</v>
      </c>
      <c r="Q521">
        <v>2</v>
      </c>
      <c r="R521" t="str">
        <f>IF(Table1_2[[#This Row],[Total Price]]&gt;3330.41,"OUTLIER","NORMAL")</f>
        <v>NORMAL</v>
      </c>
      <c r="S521" s="5">
        <v>0</v>
      </c>
    </row>
    <row r="522" spans="1:19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4293</v>
      </c>
      <c r="M522" s="3" t="s">
        <v>4279</v>
      </c>
      <c r="N522" s="6">
        <v>1907.94</v>
      </c>
      <c r="O522">
        <v>2023</v>
      </c>
      <c r="P522" s="3" t="s">
        <v>4297</v>
      </c>
      <c r="Q522">
        <v>1</v>
      </c>
      <c r="R522" t="str">
        <f>IF(Table1_2[[#This Row],[Total Price]]&gt;3330.41,"OUTLIER","NORMAL")</f>
        <v>NORMAL</v>
      </c>
      <c r="S522" s="5">
        <v>0</v>
      </c>
    </row>
    <row r="523" spans="1:19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4293</v>
      </c>
      <c r="M523" s="3" t="s">
        <v>4281</v>
      </c>
      <c r="N523" s="6">
        <v>528.05999999999995</v>
      </c>
      <c r="O523">
        <v>2024</v>
      </c>
      <c r="P523" s="3" t="s">
        <v>4289</v>
      </c>
      <c r="Q523">
        <v>1</v>
      </c>
      <c r="R523" t="str">
        <f>IF(Table1_2[[#This Row],[Total Price]]&gt;3330.41,"OUTLIER","NORMAL")</f>
        <v>NORMAL</v>
      </c>
      <c r="S523" s="5">
        <v>0</v>
      </c>
    </row>
    <row r="524" spans="1:19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 s="6">
        <v>515.32000000000005</v>
      </c>
      <c r="O524">
        <v>2024</v>
      </c>
      <c r="P524" s="3" t="s">
        <v>4294</v>
      </c>
      <c r="Q524">
        <v>2</v>
      </c>
      <c r="R524" t="str">
        <f>IF(Table1_2[[#This Row],[Total Price]]&gt;3330.41,"OUTLIER","NORMAL")</f>
        <v>NORMAL</v>
      </c>
      <c r="S524" s="5">
        <v>0</v>
      </c>
    </row>
    <row r="525" spans="1:19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 s="6">
        <v>2631.16</v>
      </c>
      <c r="O525">
        <v>2025</v>
      </c>
      <c r="P525" s="3" t="s">
        <v>4289</v>
      </c>
      <c r="Q525">
        <v>1</v>
      </c>
      <c r="R525" t="str">
        <f>IF(Table1_2[[#This Row],[Total Price]]&gt;3330.41,"OUTLIER","NORMAL")</f>
        <v>NORMAL</v>
      </c>
      <c r="S525" s="5">
        <v>0</v>
      </c>
    </row>
    <row r="526" spans="1:19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4293</v>
      </c>
      <c r="M526" s="3" t="s">
        <v>4279</v>
      </c>
      <c r="N526" s="6">
        <v>153</v>
      </c>
      <c r="O526">
        <v>2023</v>
      </c>
      <c r="P526" s="3" t="s">
        <v>4290</v>
      </c>
      <c r="Q526">
        <v>4</v>
      </c>
      <c r="R526" t="str">
        <f>IF(Table1_2[[#This Row],[Total Price]]&gt;3330.41,"OUTLIER","NORMAL")</f>
        <v>NORMAL</v>
      </c>
      <c r="S526" s="5">
        <v>0</v>
      </c>
    </row>
    <row r="527" spans="1:19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 s="6">
        <v>668.48</v>
      </c>
      <c r="O527">
        <v>2023</v>
      </c>
      <c r="P527" s="3" t="s">
        <v>4296</v>
      </c>
      <c r="Q527">
        <v>4</v>
      </c>
      <c r="R527" t="str">
        <f>IF(Table1_2[[#This Row],[Total Price]]&gt;3330.41,"OUTLIER","NORMAL")</f>
        <v>NORMAL</v>
      </c>
      <c r="S527" s="5">
        <v>0</v>
      </c>
    </row>
    <row r="528" spans="1:19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 s="6">
        <v>93</v>
      </c>
      <c r="O528">
        <v>2024</v>
      </c>
      <c r="P528" s="3" t="s">
        <v>4289</v>
      </c>
      <c r="Q528">
        <v>1</v>
      </c>
      <c r="R528" t="str">
        <f>IF(Table1_2[[#This Row],[Total Price]]&gt;3330.41,"OUTLIER","NORMAL")</f>
        <v>NORMAL</v>
      </c>
      <c r="S528" s="5">
        <v>0</v>
      </c>
    </row>
    <row r="529" spans="1:19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 s="6">
        <v>3267.35</v>
      </c>
      <c r="O529">
        <v>2024</v>
      </c>
      <c r="P529" s="3" t="s">
        <v>4288</v>
      </c>
      <c r="Q529">
        <v>3</v>
      </c>
      <c r="R529" t="str">
        <f>IF(Table1_2[[#This Row],[Total Price]]&gt;3330.41,"OUTLIER","NORMAL")</f>
        <v>NORMAL</v>
      </c>
      <c r="S529" s="5">
        <v>0</v>
      </c>
    </row>
    <row r="530" spans="1:19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 s="6">
        <v>628.89</v>
      </c>
      <c r="O530">
        <v>2025</v>
      </c>
      <c r="P530" s="3" t="s">
        <v>4289</v>
      </c>
      <c r="Q530">
        <v>1</v>
      </c>
      <c r="R530" t="str">
        <f>IF(Table1_2[[#This Row],[Total Price]]&gt;3330.41,"OUTLIER","NORMAL")</f>
        <v>NORMAL</v>
      </c>
      <c r="S530" s="5">
        <v>0</v>
      </c>
    </row>
    <row r="531" spans="1:19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 s="6">
        <v>1350.2</v>
      </c>
      <c r="O531">
        <v>2024</v>
      </c>
      <c r="P531" s="3" t="s">
        <v>4294</v>
      </c>
      <c r="Q531">
        <v>2</v>
      </c>
      <c r="R531" t="str">
        <f>IF(Table1_2[[#This Row],[Total Price]]&gt;3330.41,"OUTLIER","NORMAL")</f>
        <v>NORMAL</v>
      </c>
      <c r="S531" s="5">
        <v>0</v>
      </c>
    </row>
    <row r="532" spans="1:19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4293</v>
      </c>
      <c r="M532" s="3" t="s">
        <v>4282</v>
      </c>
      <c r="N532" s="6">
        <v>357.64</v>
      </c>
      <c r="O532">
        <v>2024</v>
      </c>
      <c r="P532" s="3" t="s">
        <v>4298</v>
      </c>
      <c r="Q532">
        <v>3</v>
      </c>
      <c r="R532" t="str">
        <f>IF(Table1_2[[#This Row],[Total Price]]&gt;3330.41,"OUTLIER","NORMAL")</f>
        <v>NORMAL</v>
      </c>
      <c r="S532" s="5">
        <v>0</v>
      </c>
    </row>
    <row r="533" spans="1:19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4293</v>
      </c>
      <c r="M533" s="3" t="s">
        <v>4279</v>
      </c>
      <c r="N533" s="6">
        <v>1600.05</v>
      </c>
      <c r="O533">
        <v>2024</v>
      </c>
      <c r="P533" s="3" t="s">
        <v>4298</v>
      </c>
      <c r="Q533">
        <v>3</v>
      </c>
      <c r="R533" t="str">
        <f>IF(Table1_2[[#This Row],[Total Price]]&gt;3330.41,"OUTLIER","NORMAL")</f>
        <v>NORMAL</v>
      </c>
      <c r="S533" s="5">
        <v>0</v>
      </c>
    </row>
    <row r="534" spans="1:19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4293</v>
      </c>
      <c r="M534" s="3" t="s">
        <v>4280</v>
      </c>
      <c r="N534" s="6">
        <v>82</v>
      </c>
      <c r="O534">
        <v>2025</v>
      </c>
      <c r="P534" s="3" t="s">
        <v>4291</v>
      </c>
      <c r="Q534">
        <v>2</v>
      </c>
      <c r="R534" t="str">
        <f>IF(Table1_2[[#This Row],[Total Price]]&gt;3330.41,"OUTLIER","NORMAL")</f>
        <v>NORMAL</v>
      </c>
      <c r="S534" s="5">
        <v>0</v>
      </c>
    </row>
    <row r="535" spans="1:19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 s="6">
        <v>565.85</v>
      </c>
      <c r="O535">
        <v>2023</v>
      </c>
      <c r="P535" s="3" t="s">
        <v>4297</v>
      </c>
      <c r="Q535">
        <v>1</v>
      </c>
      <c r="R535" t="str">
        <f>IF(Table1_2[[#This Row],[Total Price]]&gt;3330.41,"OUTLIER","NORMAL")</f>
        <v>NORMAL</v>
      </c>
      <c r="S535" s="5">
        <v>0</v>
      </c>
    </row>
    <row r="536" spans="1:19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 s="6">
        <v>1945.77</v>
      </c>
      <c r="O536">
        <v>2024</v>
      </c>
      <c r="P536" s="3" t="s">
        <v>4292</v>
      </c>
      <c r="Q536">
        <v>2</v>
      </c>
      <c r="R536" t="str">
        <f>IF(Table1_2[[#This Row],[Total Price]]&gt;3330.41,"OUTLIER","NORMAL")</f>
        <v>NORMAL</v>
      </c>
      <c r="S536" s="5">
        <v>0</v>
      </c>
    </row>
    <row r="537" spans="1:19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 s="6">
        <v>204.36</v>
      </c>
      <c r="O537">
        <v>2024</v>
      </c>
      <c r="P537" s="3" t="s">
        <v>4298</v>
      </c>
      <c r="Q537">
        <v>3</v>
      </c>
      <c r="R537" t="str">
        <f>IF(Table1_2[[#This Row],[Total Price]]&gt;3330.41,"OUTLIER","NORMAL")</f>
        <v>NORMAL</v>
      </c>
      <c r="S537" s="5">
        <v>0</v>
      </c>
    </row>
    <row r="538" spans="1:19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4293</v>
      </c>
      <c r="M538" s="3" t="s">
        <v>4280</v>
      </c>
      <c r="N538" s="6">
        <v>616.1</v>
      </c>
      <c r="O538">
        <v>2024</v>
      </c>
      <c r="P538" s="3" t="s">
        <v>4292</v>
      </c>
      <c r="Q538">
        <v>2</v>
      </c>
      <c r="R538" t="str">
        <f>IF(Table1_2[[#This Row],[Total Price]]&gt;3330.41,"OUTLIER","NORMAL")</f>
        <v>NORMAL</v>
      </c>
      <c r="S538" s="5">
        <v>0</v>
      </c>
    </row>
    <row r="539" spans="1:19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 s="6">
        <v>742.41</v>
      </c>
      <c r="O539">
        <v>2025</v>
      </c>
      <c r="P539" s="3" t="s">
        <v>4297</v>
      </c>
      <c r="Q539">
        <v>1</v>
      </c>
      <c r="R539" t="str">
        <f>IF(Table1_2[[#This Row],[Total Price]]&gt;3330.41,"OUTLIER","NORMAL")</f>
        <v>NORMAL</v>
      </c>
      <c r="S539" s="5">
        <v>0</v>
      </c>
    </row>
    <row r="540" spans="1:19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 s="6">
        <v>1472.22</v>
      </c>
      <c r="O540">
        <v>2024</v>
      </c>
      <c r="P540" s="3" t="s">
        <v>4291</v>
      </c>
      <c r="Q540">
        <v>2</v>
      </c>
      <c r="R540" t="str">
        <f>IF(Table1_2[[#This Row],[Total Price]]&gt;3330.41,"OUTLIER","NORMAL")</f>
        <v>NORMAL</v>
      </c>
      <c r="S540" s="5">
        <v>0</v>
      </c>
    </row>
    <row r="541" spans="1:19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 s="6">
        <v>1595.16</v>
      </c>
      <c r="O541">
        <v>2025</v>
      </c>
      <c r="P541" s="3" t="s">
        <v>4289</v>
      </c>
      <c r="Q541">
        <v>1</v>
      </c>
      <c r="R541" t="str">
        <f>IF(Table1_2[[#This Row],[Total Price]]&gt;3330.41,"OUTLIER","NORMAL")</f>
        <v>NORMAL</v>
      </c>
      <c r="S541" s="5">
        <v>0</v>
      </c>
    </row>
    <row r="542" spans="1:19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4293</v>
      </c>
      <c r="M542" s="3" t="s">
        <v>4279</v>
      </c>
      <c r="N542" s="6">
        <v>3243.25</v>
      </c>
      <c r="O542">
        <v>2024</v>
      </c>
      <c r="P542" s="3" t="s">
        <v>4287</v>
      </c>
      <c r="Q542">
        <v>1</v>
      </c>
      <c r="R542" t="str">
        <f>IF(Table1_2[[#This Row],[Total Price]]&gt;3330.41,"OUTLIER","NORMAL")</f>
        <v>NORMAL</v>
      </c>
      <c r="S542" s="5">
        <v>0</v>
      </c>
    </row>
    <row r="543" spans="1:19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4293</v>
      </c>
      <c r="M543" s="3" t="s">
        <v>4278</v>
      </c>
      <c r="N543" s="6">
        <v>2280.3000000000002</v>
      </c>
      <c r="O543">
        <v>2023</v>
      </c>
      <c r="P543" s="3" t="s">
        <v>4288</v>
      </c>
      <c r="Q543">
        <v>3</v>
      </c>
      <c r="R543" t="str">
        <f>IF(Table1_2[[#This Row],[Total Price]]&gt;3330.41,"OUTLIER","NORMAL")</f>
        <v>NORMAL</v>
      </c>
      <c r="S543" s="5">
        <v>0</v>
      </c>
    </row>
    <row r="544" spans="1:19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 s="6">
        <v>17.98</v>
      </c>
      <c r="O544">
        <v>2023</v>
      </c>
      <c r="P544" s="3" t="s">
        <v>4295</v>
      </c>
      <c r="Q544">
        <v>4</v>
      </c>
      <c r="R544" t="str">
        <f>IF(Table1_2[[#This Row],[Total Price]]&gt;3330.41,"OUTLIER","NORMAL")</f>
        <v>NORMAL</v>
      </c>
      <c r="S544" s="5">
        <v>0</v>
      </c>
    </row>
    <row r="545" spans="1:19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 s="6">
        <v>1349.3</v>
      </c>
      <c r="O545">
        <v>2024</v>
      </c>
      <c r="P545" s="3" t="s">
        <v>4297</v>
      </c>
      <c r="Q545">
        <v>1</v>
      </c>
      <c r="R545" t="str">
        <f>IF(Table1_2[[#This Row],[Total Price]]&gt;3330.41,"OUTLIER","NORMAL")</f>
        <v>NORMAL</v>
      </c>
      <c r="S545" s="5">
        <v>0</v>
      </c>
    </row>
    <row r="546" spans="1:19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 s="6">
        <v>159.80000000000001</v>
      </c>
      <c r="O546">
        <v>2024</v>
      </c>
      <c r="P546" s="3" t="s">
        <v>4297</v>
      </c>
      <c r="Q546">
        <v>1</v>
      </c>
      <c r="R546" t="str">
        <f>IF(Table1_2[[#This Row],[Total Price]]&gt;3330.41,"OUTLIER","NORMAL")</f>
        <v>NORMAL</v>
      </c>
      <c r="S546" s="5">
        <v>0</v>
      </c>
    </row>
    <row r="547" spans="1:19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4293</v>
      </c>
      <c r="M547" s="3" t="s">
        <v>4278</v>
      </c>
      <c r="N547" s="6">
        <v>196.94</v>
      </c>
      <c r="O547">
        <v>2023</v>
      </c>
      <c r="P547" s="3" t="s">
        <v>4296</v>
      </c>
      <c r="Q547">
        <v>4</v>
      </c>
      <c r="R547" t="str">
        <f>IF(Table1_2[[#This Row],[Total Price]]&gt;3330.41,"OUTLIER","NORMAL")</f>
        <v>NORMAL</v>
      </c>
      <c r="S547" s="5">
        <v>0</v>
      </c>
    </row>
    <row r="548" spans="1:19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 s="6">
        <v>158.68</v>
      </c>
      <c r="O548">
        <v>2024</v>
      </c>
      <c r="P548" s="3" t="s">
        <v>4297</v>
      </c>
      <c r="Q548">
        <v>1</v>
      </c>
      <c r="R548" t="str">
        <f>IF(Table1_2[[#This Row],[Total Price]]&gt;3330.41,"OUTLIER","NORMAL")</f>
        <v>NORMAL</v>
      </c>
      <c r="S548" s="5">
        <v>0</v>
      </c>
    </row>
    <row r="549" spans="1:19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 s="6">
        <v>613.98</v>
      </c>
      <c r="O549">
        <v>2023</v>
      </c>
      <c r="P549" s="3" t="s">
        <v>4288</v>
      </c>
      <c r="Q549">
        <v>3</v>
      </c>
      <c r="R549" t="str">
        <f>IF(Table1_2[[#This Row],[Total Price]]&gt;3330.41,"OUTLIER","NORMAL")</f>
        <v>NORMAL</v>
      </c>
      <c r="S549" s="5">
        <v>0</v>
      </c>
    </row>
    <row r="550" spans="1:19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 s="6">
        <v>1278.3599999999999</v>
      </c>
      <c r="O550">
        <v>2024</v>
      </c>
      <c r="P550" s="3" t="s">
        <v>4287</v>
      </c>
      <c r="Q550">
        <v>1</v>
      </c>
      <c r="R550" t="str">
        <f>IF(Table1_2[[#This Row],[Total Price]]&gt;3330.41,"OUTLIER","NORMAL")</f>
        <v>NORMAL</v>
      </c>
      <c r="S550" s="5">
        <v>0</v>
      </c>
    </row>
    <row r="551" spans="1:19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 s="6">
        <v>2519.52</v>
      </c>
      <c r="O551">
        <v>2025</v>
      </c>
      <c r="P551" s="3" t="s">
        <v>4289</v>
      </c>
      <c r="Q551">
        <v>1</v>
      </c>
      <c r="R551" t="str">
        <f>IF(Table1_2[[#This Row],[Total Price]]&gt;3330.41,"OUTLIER","NORMAL")</f>
        <v>NORMAL</v>
      </c>
      <c r="S551" s="5">
        <v>0</v>
      </c>
    </row>
    <row r="552" spans="1:19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 s="6">
        <v>915.64</v>
      </c>
      <c r="O552">
        <v>2023</v>
      </c>
      <c r="P552" s="3" t="s">
        <v>4290</v>
      </c>
      <c r="Q552">
        <v>4</v>
      </c>
      <c r="R552" t="str">
        <f>IF(Table1_2[[#This Row],[Total Price]]&gt;3330.41,"OUTLIER","NORMAL")</f>
        <v>NORMAL</v>
      </c>
      <c r="S552" s="5">
        <v>0</v>
      </c>
    </row>
    <row r="553" spans="1:19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 s="6">
        <v>120.98</v>
      </c>
      <c r="O553">
        <v>2023</v>
      </c>
      <c r="P553" s="3" t="s">
        <v>4291</v>
      </c>
      <c r="Q553">
        <v>2</v>
      </c>
      <c r="R553" t="str">
        <f>IF(Table1_2[[#This Row],[Total Price]]&gt;3330.41,"OUTLIER","NORMAL")</f>
        <v>NORMAL</v>
      </c>
      <c r="S553" s="5">
        <v>0</v>
      </c>
    </row>
    <row r="554" spans="1:19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 s="6">
        <v>1700.72</v>
      </c>
      <c r="O554">
        <v>2023</v>
      </c>
      <c r="P554" s="3" t="s">
        <v>4299</v>
      </c>
      <c r="Q554">
        <v>3</v>
      </c>
      <c r="R554" t="str">
        <f>IF(Table1_2[[#This Row],[Total Price]]&gt;3330.41,"OUTLIER","NORMAL")</f>
        <v>NORMAL</v>
      </c>
      <c r="S554" s="5">
        <v>0</v>
      </c>
    </row>
    <row r="555" spans="1:19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 s="6">
        <v>667.66</v>
      </c>
      <c r="O555">
        <v>2023</v>
      </c>
      <c r="P555" s="3" t="s">
        <v>4288</v>
      </c>
      <c r="Q555">
        <v>3</v>
      </c>
      <c r="R555" t="str">
        <f>IF(Table1_2[[#This Row],[Total Price]]&gt;3330.41,"OUTLIER","NORMAL")</f>
        <v>NORMAL</v>
      </c>
      <c r="S555" s="5">
        <v>0</v>
      </c>
    </row>
    <row r="556" spans="1:19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 s="6">
        <v>985.8</v>
      </c>
      <c r="O556">
        <v>2025</v>
      </c>
      <c r="P556" s="3" t="s">
        <v>4291</v>
      </c>
      <c r="Q556">
        <v>2</v>
      </c>
      <c r="R556" t="str">
        <f>IF(Table1_2[[#This Row],[Total Price]]&gt;3330.41,"OUTLIER","NORMAL")</f>
        <v>NORMAL</v>
      </c>
      <c r="S556" s="5">
        <v>0</v>
      </c>
    </row>
    <row r="557" spans="1:19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4293</v>
      </c>
      <c r="M557" s="3" t="s">
        <v>4281</v>
      </c>
      <c r="N557" s="6">
        <v>92.04</v>
      </c>
      <c r="O557">
        <v>2023</v>
      </c>
      <c r="P557" s="3" t="s">
        <v>4287</v>
      </c>
      <c r="Q557">
        <v>1</v>
      </c>
      <c r="R557" t="str">
        <f>IF(Table1_2[[#This Row],[Total Price]]&gt;3330.41,"OUTLIER","NORMAL")</f>
        <v>NORMAL</v>
      </c>
      <c r="S557" s="5">
        <v>0</v>
      </c>
    </row>
    <row r="558" spans="1:19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 s="6">
        <v>654.27</v>
      </c>
      <c r="O558">
        <v>2023</v>
      </c>
      <c r="P558" s="3" t="s">
        <v>4287</v>
      </c>
      <c r="Q558">
        <v>1</v>
      </c>
      <c r="R558" t="str">
        <f>IF(Table1_2[[#This Row],[Total Price]]&gt;3330.41,"OUTLIER","NORMAL")</f>
        <v>NORMAL</v>
      </c>
      <c r="S558" s="5">
        <v>0</v>
      </c>
    </row>
    <row r="559" spans="1:19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 s="6">
        <v>56.2</v>
      </c>
      <c r="O559">
        <v>2023</v>
      </c>
      <c r="P559" s="3" t="s">
        <v>4292</v>
      </c>
      <c r="Q559">
        <v>2</v>
      </c>
      <c r="R559" t="str">
        <f>IF(Table1_2[[#This Row],[Total Price]]&gt;3330.41,"OUTLIER","NORMAL")</f>
        <v>NORMAL</v>
      </c>
      <c r="S559" s="5">
        <v>0</v>
      </c>
    </row>
    <row r="560" spans="1:19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 s="6">
        <v>2512.48</v>
      </c>
      <c r="O560">
        <v>2024</v>
      </c>
      <c r="P560" s="3" t="s">
        <v>4298</v>
      </c>
      <c r="Q560">
        <v>3</v>
      </c>
      <c r="R560" t="str">
        <f>IF(Table1_2[[#This Row],[Total Price]]&gt;3330.41,"OUTLIER","NORMAL")</f>
        <v>NORMAL</v>
      </c>
      <c r="S560" s="5">
        <v>0</v>
      </c>
    </row>
    <row r="561" spans="1:19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 s="6">
        <v>472.2</v>
      </c>
      <c r="O561">
        <v>2024</v>
      </c>
      <c r="P561" s="3" t="s">
        <v>4294</v>
      </c>
      <c r="Q561">
        <v>2</v>
      </c>
      <c r="R561" t="str">
        <f>IF(Table1_2[[#This Row],[Total Price]]&gt;3330.41,"OUTLIER","NORMAL")</f>
        <v>NORMAL</v>
      </c>
      <c r="S561" s="5">
        <v>0</v>
      </c>
    </row>
    <row r="562" spans="1:19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4293</v>
      </c>
      <c r="M562" s="3" t="s">
        <v>4280</v>
      </c>
      <c r="N562" s="6">
        <v>2355.4</v>
      </c>
      <c r="O562">
        <v>2023</v>
      </c>
      <c r="P562" s="3" t="s">
        <v>4287</v>
      </c>
      <c r="Q562">
        <v>1</v>
      </c>
      <c r="R562" t="str">
        <f>IF(Table1_2[[#This Row],[Total Price]]&gt;3330.41,"OUTLIER","NORMAL")</f>
        <v>NORMAL</v>
      </c>
      <c r="S562" s="5">
        <v>0</v>
      </c>
    </row>
    <row r="563" spans="1:19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4293</v>
      </c>
      <c r="M563" s="3" t="s">
        <v>4282</v>
      </c>
      <c r="N563" s="6">
        <v>989.56</v>
      </c>
      <c r="O563">
        <v>2023</v>
      </c>
      <c r="P563" s="3" t="s">
        <v>4287</v>
      </c>
      <c r="Q563">
        <v>1</v>
      </c>
      <c r="R563" t="str">
        <f>IF(Table1_2[[#This Row],[Total Price]]&gt;3330.41,"OUTLIER","NORMAL")</f>
        <v>NORMAL</v>
      </c>
      <c r="S563" s="5">
        <v>0</v>
      </c>
    </row>
    <row r="564" spans="1:19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 s="6">
        <v>1991.79</v>
      </c>
      <c r="O564">
        <v>2023</v>
      </c>
      <c r="P564" s="3" t="s">
        <v>4290</v>
      </c>
      <c r="Q564">
        <v>4</v>
      </c>
      <c r="R564" t="str">
        <f>IF(Table1_2[[#This Row],[Total Price]]&gt;3330.41,"OUTLIER","NORMAL")</f>
        <v>NORMAL</v>
      </c>
      <c r="S564" s="5">
        <v>0</v>
      </c>
    </row>
    <row r="565" spans="1:19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 s="6">
        <v>132.68</v>
      </c>
      <c r="O565">
        <v>2023</v>
      </c>
      <c r="P565" s="3" t="s">
        <v>4296</v>
      </c>
      <c r="Q565">
        <v>4</v>
      </c>
      <c r="R565" t="str">
        <f>IF(Table1_2[[#This Row],[Total Price]]&gt;3330.41,"OUTLIER","NORMAL")</f>
        <v>NORMAL</v>
      </c>
      <c r="S565" s="5">
        <v>0</v>
      </c>
    </row>
    <row r="566" spans="1:19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 s="6">
        <v>1821.4</v>
      </c>
      <c r="O566">
        <v>2025</v>
      </c>
      <c r="P566" s="3" t="s">
        <v>4294</v>
      </c>
      <c r="Q566">
        <v>2</v>
      </c>
      <c r="R566" t="str">
        <f>IF(Table1_2[[#This Row],[Total Price]]&gt;3330.41,"OUTLIER","NORMAL")</f>
        <v>NORMAL</v>
      </c>
      <c r="S566" s="5">
        <v>0</v>
      </c>
    </row>
    <row r="567" spans="1:19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4293</v>
      </c>
      <c r="M567" s="3" t="s">
        <v>4281</v>
      </c>
      <c r="N567" s="6">
        <v>1539.9</v>
      </c>
      <c r="O567">
        <v>2023</v>
      </c>
      <c r="P567" s="3" t="s">
        <v>4291</v>
      </c>
      <c r="Q567">
        <v>2</v>
      </c>
      <c r="R567" t="str">
        <f>IF(Table1_2[[#This Row],[Total Price]]&gt;3330.41,"OUTLIER","NORMAL")</f>
        <v>NORMAL</v>
      </c>
      <c r="S567" s="5">
        <v>0</v>
      </c>
    </row>
    <row r="568" spans="1:19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 s="6">
        <v>650.84</v>
      </c>
      <c r="O568">
        <v>2024</v>
      </c>
      <c r="P568" s="3" t="s">
        <v>4294</v>
      </c>
      <c r="Q568">
        <v>2</v>
      </c>
      <c r="R568" t="str">
        <f>IF(Table1_2[[#This Row],[Total Price]]&gt;3330.41,"OUTLIER","NORMAL")</f>
        <v>NORMAL</v>
      </c>
      <c r="S568" s="5">
        <v>0</v>
      </c>
    </row>
    <row r="569" spans="1:19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 s="6">
        <v>2464.6999999999998</v>
      </c>
      <c r="O569">
        <v>2024</v>
      </c>
      <c r="P569" s="3" t="s">
        <v>4299</v>
      </c>
      <c r="Q569">
        <v>3</v>
      </c>
      <c r="R569" t="str">
        <f>IF(Table1_2[[#This Row],[Total Price]]&gt;3330.41,"OUTLIER","NORMAL")</f>
        <v>NORMAL</v>
      </c>
      <c r="S569" s="5">
        <v>0</v>
      </c>
    </row>
    <row r="570" spans="1:19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4293</v>
      </c>
      <c r="M570" s="3" t="s">
        <v>4282</v>
      </c>
      <c r="N570" s="6">
        <v>687.98</v>
      </c>
      <c r="O570">
        <v>2023</v>
      </c>
      <c r="P570" s="3" t="s">
        <v>4297</v>
      </c>
      <c r="Q570">
        <v>1</v>
      </c>
      <c r="R570" t="str">
        <f>IF(Table1_2[[#This Row],[Total Price]]&gt;3330.41,"OUTLIER","NORMAL")</f>
        <v>NORMAL</v>
      </c>
      <c r="S570" s="5">
        <v>0</v>
      </c>
    </row>
    <row r="571" spans="1:19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 s="6">
        <v>1253.4000000000001</v>
      </c>
      <c r="O571">
        <v>2025</v>
      </c>
      <c r="P571" s="3" t="s">
        <v>4297</v>
      </c>
      <c r="Q571">
        <v>1</v>
      </c>
      <c r="R571" t="str">
        <f>IF(Table1_2[[#This Row],[Total Price]]&gt;3330.41,"OUTLIER","NORMAL")</f>
        <v>NORMAL</v>
      </c>
      <c r="S571" s="5">
        <v>0</v>
      </c>
    </row>
    <row r="572" spans="1:19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 s="6">
        <v>724.28</v>
      </c>
      <c r="O572">
        <v>2024</v>
      </c>
      <c r="P572" s="3" t="s">
        <v>4296</v>
      </c>
      <c r="Q572">
        <v>4</v>
      </c>
      <c r="R572" t="str">
        <f>IF(Table1_2[[#This Row],[Total Price]]&gt;3330.41,"OUTLIER","NORMAL")</f>
        <v>NORMAL</v>
      </c>
      <c r="S572" s="5">
        <v>0</v>
      </c>
    </row>
    <row r="573" spans="1:19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 s="6">
        <v>214.08</v>
      </c>
      <c r="O573">
        <v>2024</v>
      </c>
      <c r="P573" s="3" t="s">
        <v>4295</v>
      </c>
      <c r="Q573">
        <v>4</v>
      </c>
      <c r="R573" t="str">
        <f>IF(Table1_2[[#This Row],[Total Price]]&gt;3330.41,"OUTLIER","NORMAL")</f>
        <v>NORMAL</v>
      </c>
      <c r="S573" s="5">
        <v>0</v>
      </c>
    </row>
    <row r="574" spans="1:19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 s="6">
        <v>70.319999999999993</v>
      </c>
      <c r="O574">
        <v>2023</v>
      </c>
      <c r="P574" s="3" t="s">
        <v>4295</v>
      </c>
      <c r="Q574">
        <v>4</v>
      </c>
      <c r="R574" t="str">
        <f>IF(Table1_2[[#This Row],[Total Price]]&gt;3330.41,"OUTLIER","NORMAL")</f>
        <v>NORMAL</v>
      </c>
      <c r="S574" s="5">
        <v>0</v>
      </c>
    </row>
    <row r="575" spans="1:19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4293</v>
      </c>
      <c r="M575" s="3" t="s">
        <v>4278</v>
      </c>
      <c r="N575" s="6">
        <v>2107.1</v>
      </c>
      <c r="O575">
        <v>2023</v>
      </c>
      <c r="P575" s="3" t="s">
        <v>4287</v>
      </c>
      <c r="Q575">
        <v>1</v>
      </c>
      <c r="R575" t="str">
        <f>IF(Table1_2[[#This Row],[Total Price]]&gt;3330.41,"OUTLIER","NORMAL")</f>
        <v>NORMAL</v>
      </c>
      <c r="S575" s="5">
        <v>0</v>
      </c>
    </row>
    <row r="576" spans="1:19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 s="6">
        <v>1923.45</v>
      </c>
      <c r="O576">
        <v>2024</v>
      </c>
      <c r="P576" s="3" t="s">
        <v>4287</v>
      </c>
      <c r="Q576">
        <v>1</v>
      </c>
      <c r="R576" t="str">
        <f>IF(Table1_2[[#This Row],[Total Price]]&gt;3330.41,"OUTLIER","NORMAL")</f>
        <v>NORMAL</v>
      </c>
      <c r="S576" s="5">
        <v>0</v>
      </c>
    </row>
    <row r="577" spans="1:19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 s="6">
        <v>2240.75</v>
      </c>
      <c r="O577">
        <v>2023</v>
      </c>
      <c r="P577" s="3" t="s">
        <v>4292</v>
      </c>
      <c r="Q577">
        <v>2</v>
      </c>
      <c r="R577" t="str">
        <f>IF(Table1_2[[#This Row],[Total Price]]&gt;3330.41,"OUTLIER","NORMAL")</f>
        <v>NORMAL</v>
      </c>
      <c r="S577" s="5">
        <v>0</v>
      </c>
    </row>
    <row r="578" spans="1:19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4293</v>
      </c>
      <c r="M578" s="3" t="s">
        <v>4281</v>
      </c>
      <c r="N578" s="6">
        <v>395.4</v>
      </c>
      <c r="O578">
        <v>2024</v>
      </c>
      <c r="P578" s="3" t="s">
        <v>4291</v>
      </c>
      <c r="Q578">
        <v>2</v>
      </c>
      <c r="R578" t="str">
        <f>IF(Table1_2[[#This Row],[Total Price]]&gt;3330.41,"OUTLIER","NORMAL")</f>
        <v>NORMAL</v>
      </c>
      <c r="S578" s="5">
        <v>0</v>
      </c>
    </row>
    <row r="579" spans="1:19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 s="6">
        <v>741.64</v>
      </c>
      <c r="O579">
        <v>2023</v>
      </c>
      <c r="P579" s="3" t="s">
        <v>4287</v>
      </c>
      <c r="Q579">
        <v>1</v>
      </c>
      <c r="R579" t="str">
        <f>IF(Table1_2[[#This Row],[Total Price]]&gt;3330.41,"OUTLIER","NORMAL")</f>
        <v>NORMAL</v>
      </c>
      <c r="S579" s="5">
        <v>0</v>
      </c>
    </row>
    <row r="580" spans="1:19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 s="6">
        <v>2830.35</v>
      </c>
      <c r="O580">
        <v>2024</v>
      </c>
      <c r="P580" s="3" t="s">
        <v>4290</v>
      </c>
      <c r="Q580">
        <v>4</v>
      </c>
      <c r="R580" t="str">
        <f>IF(Table1_2[[#This Row],[Total Price]]&gt;3330.41,"OUTLIER","NORMAL")</f>
        <v>NORMAL</v>
      </c>
      <c r="S580" s="5">
        <v>0</v>
      </c>
    </row>
    <row r="581" spans="1:19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 s="6">
        <v>375.76</v>
      </c>
      <c r="O581">
        <v>2023</v>
      </c>
      <c r="P581" s="3" t="s">
        <v>4292</v>
      </c>
      <c r="Q581">
        <v>2</v>
      </c>
      <c r="R581" t="str">
        <f>IF(Table1_2[[#This Row],[Total Price]]&gt;3330.41,"OUTLIER","NORMAL")</f>
        <v>NORMAL</v>
      </c>
      <c r="S581" s="5">
        <v>0</v>
      </c>
    </row>
    <row r="582" spans="1:19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 s="6">
        <v>511.98</v>
      </c>
      <c r="O582">
        <v>2023</v>
      </c>
      <c r="P582" s="3" t="s">
        <v>4295</v>
      </c>
      <c r="Q582">
        <v>4</v>
      </c>
      <c r="R582" t="str">
        <f>IF(Table1_2[[#This Row],[Total Price]]&gt;3330.41,"OUTLIER","NORMAL")</f>
        <v>NORMAL</v>
      </c>
      <c r="S582" s="5">
        <v>0</v>
      </c>
    </row>
    <row r="583" spans="1:19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4293</v>
      </c>
      <c r="M583" s="3" t="s">
        <v>4279</v>
      </c>
      <c r="N583" s="6">
        <v>627.34</v>
      </c>
      <c r="O583">
        <v>2024</v>
      </c>
      <c r="P583" s="3" t="s">
        <v>4295</v>
      </c>
      <c r="Q583">
        <v>4</v>
      </c>
      <c r="R583" t="str">
        <f>IF(Table1_2[[#This Row],[Total Price]]&gt;3330.41,"OUTLIER","NORMAL")</f>
        <v>NORMAL</v>
      </c>
      <c r="S583" s="5">
        <v>0</v>
      </c>
    </row>
    <row r="584" spans="1:19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 s="6">
        <v>1422.42</v>
      </c>
      <c r="O584">
        <v>2024</v>
      </c>
      <c r="P584" s="3" t="s">
        <v>4289</v>
      </c>
      <c r="Q584">
        <v>1</v>
      </c>
      <c r="R584" t="str">
        <f>IF(Table1_2[[#This Row],[Total Price]]&gt;3330.41,"OUTLIER","NORMAL")</f>
        <v>NORMAL</v>
      </c>
      <c r="S584" s="5">
        <v>0</v>
      </c>
    </row>
    <row r="585" spans="1:19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4293</v>
      </c>
      <c r="M585" s="3" t="s">
        <v>4278</v>
      </c>
      <c r="N585" s="6">
        <v>463.11</v>
      </c>
      <c r="O585">
        <v>2025</v>
      </c>
      <c r="P585" s="3" t="s">
        <v>4292</v>
      </c>
      <c r="Q585">
        <v>2</v>
      </c>
      <c r="R585" t="str">
        <f>IF(Table1_2[[#This Row],[Total Price]]&gt;3330.41,"OUTLIER","NORMAL")</f>
        <v>NORMAL</v>
      </c>
      <c r="S585" s="5">
        <v>0</v>
      </c>
    </row>
    <row r="586" spans="1:19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 s="6">
        <v>580.20000000000005</v>
      </c>
      <c r="O586">
        <v>2025</v>
      </c>
      <c r="P586" s="3" t="s">
        <v>4297</v>
      </c>
      <c r="Q586">
        <v>1</v>
      </c>
      <c r="R586" t="str">
        <f>IF(Table1_2[[#This Row],[Total Price]]&gt;3330.41,"OUTLIER","NORMAL")</f>
        <v>NORMAL</v>
      </c>
      <c r="S586" s="5">
        <v>0</v>
      </c>
    </row>
    <row r="587" spans="1:19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 s="6">
        <v>268.32</v>
      </c>
      <c r="O587">
        <v>2023</v>
      </c>
      <c r="P587" s="3" t="s">
        <v>4288</v>
      </c>
      <c r="Q587">
        <v>3</v>
      </c>
      <c r="R587" t="str">
        <f>IF(Table1_2[[#This Row],[Total Price]]&gt;3330.41,"OUTLIER","NORMAL")</f>
        <v>NORMAL</v>
      </c>
      <c r="S587" s="5">
        <v>0</v>
      </c>
    </row>
    <row r="588" spans="1:19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 s="6">
        <v>522.08000000000004</v>
      </c>
      <c r="O588">
        <v>2024</v>
      </c>
      <c r="P588" s="3" t="s">
        <v>4295</v>
      </c>
      <c r="Q588">
        <v>4</v>
      </c>
      <c r="R588" t="str">
        <f>IF(Table1_2[[#This Row],[Total Price]]&gt;3330.41,"OUTLIER","NORMAL")</f>
        <v>NORMAL</v>
      </c>
      <c r="S588" s="5">
        <v>0</v>
      </c>
    </row>
    <row r="589" spans="1:19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 s="6">
        <v>2573</v>
      </c>
      <c r="O589">
        <v>2023</v>
      </c>
      <c r="P589" s="3" t="s">
        <v>4292</v>
      </c>
      <c r="Q589">
        <v>2</v>
      </c>
      <c r="R589" t="str">
        <f>IF(Table1_2[[#This Row],[Total Price]]&gt;3330.41,"OUTLIER","NORMAL")</f>
        <v>NORMAL</v>
      </c>
      <c r="S589" s="5">
        <v>0</v>
      </c>
    </row>
    <row r="590" spans="1:19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4293</v>
      </c>
      <c r="M590" s="3" t="s">
        <v>4282</v>
      </c>
      <c r="N590" s="6">
        <v>2311.2800000000002</v>
      </c>
      <c r="O590">
        <v>2024</v>
      </c>
      <c r="P590" s="3" t="s">
        <v>4296</v>
      </c>
      <c r="Q590">
        <v>4</v>
      </c>
      <c r="R590" t="str">
        <f>IF(Table1_2[[#This Row],[Total Price]]&gt;3330.41,"OUTLIER","NORMAL")</f>
        <v>NORMAL</v>
      </c>
      <c r="S590" s="5">
        <v>0</v>
      </c>
    </row>
    <row r="591" spans="1:19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 s="6">
        <v>1001.6</v>
      </c>
      <c r="O591">
        <v>2025</v>
      </c>
      <c r="P591" s="3" t="s">
        <v>4289</v>
      </c>
      <c r="Q591">
        <v>1</v>
      </c>
      <c r="R591" t="str">
        <f>IF(Table1_2[[#This Row],[Total Price]]&gt;3330.41,"OUTLIER","NORMAL")</f>
        <v>NORMAL</v>
      </c>
      <c r="S591" s="5">
        <v>0</v>
      </c>
    </row>
    <row r="592" spans="1:19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4293</v>
      </c>
      <c r="M592" s="3" t="s">
        <v>4280</v>
      </c>
      <c r="N592" s="6">
        <v>922.26</v>
      </c>
      <c r="O592">
        <v>2023</v>
      </c>
      <c r="P592" s="3" t="s">
        <v>4299</v>
      </c>
      <c r="Q592">
        <v>3</v>
      </c>
      <c r="R592" t="str">
        <f>IF(Table1_2[[#This Row],[Total Price]]&gt;3330.41,"OUTLIER","NORMAL")</f>
        <v>NORMAL</v>
      </c>
      <c r="S592" s="5">
        <v>0</v>
      </c>
    </row>
    <row r="593" spans="1:19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 s="6">
        <v>605.28</v>
      </c>
      <c r="O593">
        <v>2024</v>
      </c>
      <c r="P593" s="3" t="s">
        <v>4295</v>
      </c>
      <c r="Q593">
        <v>4</v>
      </c>
      <c r="R593" t="str">
        <f>IF(Table1_2[[#This Row],[Total Price]]&gt;3330.41,"OUTLIER","NORMAL")</f>
        <v>NORMAL</v>
      </c>
      <c r="S593" s="5">
        <v>0</v>
      </c>
    </row>
    <row r="594" spans="1:19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4293</v>
      </c>
      <c r="M594" s="3" t="s">
        <v>4282</v>
      </c>
      <c r="N594" s="6">
        <v>612.81000000000006</v>
      </c>
      <c r="O594">
        <v>2024</v>
      </c>
      <c r="P594" s="3" t="s">
        <v>4294</v>
      </c>
      <c r="Q594">
        <v>2</v>
      </c>
      <c r="R594" t="str">
        <f>IF(Table1_2[[#This Row],[Total Price]]&gt;3330.41,"OUTLIER","NORMAL")</f>
        <v>NORMAL</v>
      </c>
      <c r="S594" s="5">
        <v>0</v>
      </c>
    </row>
    <row r="595" spans="1:19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 s="6">
        <v>489.8</v>
      </c>
      <c r="O595">
        <v>2023</v>
      </c>
      <c r="P595" s="3" t="s">
        <v>4288</v>
      </c>
      <c r="Q595">
        <v>3</v>
      </c>
      <c r="R595" t="str">
        <f>IF(Table1_2[[#This Row],[Total Price]]&gt;3330.41,"OUTLIER","NORMAL")</f>
        <v>NORMAL</v>
      </c>
      <c r="S595" s="5">
        <v>0</v>
      </c>
    </row>
    <row r="596" spans="1:19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4293</v>
      </c>
      <c r="M596" s="3" t="s">
        <v>4280</v>
      </c>
      <c r="N596" s="6">
        <v>363.2</v>
      </c>
      <c r="O596">
        <v>2024</v>
      </c>
      <c r="P596" s="3" t="s">
        <v>4289</v>
      </c>
      <c r="Q596">
        <v>1</v>
      </c>
      <c r="R596" t="str">
        <f>IF(Table1_2[[#This Row],[Total Price]]&gt;3330.41,"OUTLIER","NORMAL")</f>
        <v>NORMAL</v>
      </c>
      <c r="S596" s="5">
        <v>0</v>
      </c>
    </row>
    <row r="597" spans="1:19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 s="6">
        <v>770.32</v>
      </c>
      <c r="O597">
        <v>2025</v>
      </c>
      <c r="P597" s="3" t="s">
        <v>4287</v>
      </c>
      <c r="Q597">
        <v>1</v>
      </c>
      <c r="R597" t="str">
        <f>IF(Table1_2[[#This Row],[Total Price]]&gt;3330.41,"OUTLIER","NORMAL")</f>
        <v>NORMAL</v>
      </c>
      <c r="S597" s="5">
        <v>0</v>
      </c>
    </row>
    <row r="598" spans="1:19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 s="6">
        <v>1819.23</v>
      </c>
      <c r="O598">
        <v>2023</v>
      </c>
      <c r="P598" s="3" t="s">
        <v>4292</v>
      </c>
      <c r="Q598">
        <v>2</v>
      </c>
      <c r="R598" t="str">
        <f>IF(Table1_2[[#This Row],[Total Price]]&gt;3330.41,"OUTLIER","NORMAL")</f>
        <v>NORMAL</v>
      </c>
      <c r="S598" s="5">
        <v>0</v>
      </c>
    </row>
    <row r="599" spans="1:19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 s="6">
        <v>423.64</v>
      </c>
      <c r="O599">
        <v>2024</v>
      </c>
      <c r="P599" s="3" t="s">
        <v>4295</v>
      </c>
      <c r="Q599">
        <v>4</v>
      </c>
      <c r="R599" t="str">
        <f>IF(Table1_2[[#This Row],[Total Price]]&gt;3330.41,"OUTLIER","NORMAL")</f>
        <v>NORMAL</v>
      </c>
      <c r="S599" s="5">
        <v>0</v>
      </c>
    </row>
    <row r="600" spans="1:19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4293</v>
      </c>
      <c r="M600" s="3" t="s">
        <v>4281</v>
      </c>
      <c r="N600" s="6">
        <v>2476.75</v>
      </c>
      <c r="O600">
        <v>2024</v>
      </c>
      <c r="P600" s="3" t="s">
        <v>4294</v>
      </c>
      <c r="Q600">
        <v>2</v>
      </c>
      <c r="R600" t="str">
        <f>IF(Table1_2[[#This Row],[Total Price]]&gt;3330.41,"OUTLIER","NORMAL")</f>
        <v>NORMAL</v>
      </c>
      <c r="S600" s="5">
        <v>0</v>
      </c>
    </row>
    <row r="601" spans="1:19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 s="6">
        <v>1670.97</v>
      </c>
      <c r="O601">
        <v>2023</v>
      </c>
      <c r="P601" s="3" t="s">
        <v>4292</v>
      </c>
      <c r="Q601">
        <v>2</v>
      </c>
      <c r="R601" t="str">
        <f>IF(Table1_2[[#This Row],[Total Price]]&gt;3330.41,"OUTLIER","NORMAL")</f>
        <v>NORMAL</v>
      </c>
      <c r="S601" s="5">
        <v>0</v>
      </c>
    </row>
    <row r="602" spans="1:19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 s="6">
        <v>72.31</v>
      </c>
      <c r="O602">
        <v>2023</v>
      </c>
      <c r="P602" s="3" t="s">
        <v>4291</v>
      </c>
      <c r="Q602">
        <v>2</v>
      </c>
      <c r="R602" t="str">
        <f>IF(Table1_2[[#This Row],[Total Price]]&gt;3330.41,"OUTLIER","NORMAL")</f>
        <v>NORMAL</v>
      </c>
      <c r="S602" s="5">
        <v>0</v>
      </c>
    </row>
    <row r="603" spans="1:19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4293</v>
      </c>
      <c r="M603" s="3" t="s">
        <v>4279</v>
      </c>
      <c r="N603" s="6">
        <v>124.1</v>
      </c>
      <c r="O603">
        <v>2023</v>
      </c>
      <c r="P603" s="3" t="s">
        <v>4290</v>
      </c>
      <c r="Q603">
        <v>4</v>
      </c>
      <c r="R603" t="str">
        <f>IF(Table1_2[[#This Row],[Total Price]]&gt;3330.41,"OUTLIER","NORMAL")</f>
        <v>NORMAL</v>
      </c>
      <c r="S603" s="5">
        <v>0</v>
      </c>
    </row>
    <row r="604" spans="1:19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 s="6">
        <v>104.16</v>
      </c>
      <c r="O604">
        <v>2024</v>
      </c>
      <c r="P604" s="3" t="s">
        <v>4297</v>
      </c>
      <c r="Q604">
        <v>1</v>
      </c>
      <c r="R604" t="str">
        <f>IF(Table1_2[[#This Row],[Total Price]]&gt;3330.41,"OUTLIER","NORMAL")</f>
        <v>NORMAL</v>
      </c>
      <c r="S604" s="5">
        <v>0</v>
      </c>
    </row>
    <row r="605" spans="1:19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 s="6">
        <v>657.07</v>
      </c>
      <c r="O605">
        <v>2024</v>
      </c>
      <c r="P605" s="3" t="s">
        <v>4290</v>
      </c>
      <c r="Q605">
        <v>4</v>
      </c>
      <c r="R605" t="str">
        <f>IF(Table1_2[[#This Row],[Total Price]]&gt;3330.41,"OUTLIER","NORMAL")</f>
        <v>NORMAL</v>
      </c>
      <c r="S605" s="5">
        <v>0</v>
      </c>
    </row>
    <row r="606" spans="1:19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4293</v>
      </c>
      <c r="M606" s="3" t="s">
        <v>4281</v>
      </c>
      <c r="N606" s="6">
        <v>97.859999999999985</v>
      </c>
      <c r="O606">
        <v>2025</v>
      </c>
      <c r="P606" s="3" t="s">
        <v>4292</v>
      </c>
      <c r="Q606">
        <v>2</v>
      </c>
      <c r="R606" t="str">
        <f>IF(Table1_2[[#This Row],[Total Price]]&gt;3330.41,"OUTLIER","NORMAL")</f>
        <v>NORMAL</v>
      </c>
      <c r="S606" s="5">
        <v>0</v>
      </c>
    </row>
    <row r="607" spans="1:19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 s="6">
        <v>457.82</v>
      </c>
      <c r="O607">
        <v>2024</v>
      </c>
      <c r="P607" s="3" t="s">
        <v>4291</v>
      </c>
      <c r="Q607">
        <v>2</v>
      </c>
      <c r="R607" t="str">
        <f>IF(Table1_2[[#This Row],[Total Price]]&gt;3330.41,"OUTLIER","NORMAL")</f>
        <v>NORMAL</v>
      </c>
      <c r="S607" s="5">
        <v>0</v>
      </c>
    </row>
    <row r="608" spans="1:19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 s="6">
        <v>824.25</v>
      </c>
      <c r="O608">
        <v>2024</v>
      </c>
      <c r="P608" s="3" t="s">
        <v>4295</v>
      </c>
      <c r="Q608">
        <v>4</v>
      </c>
      <c r="R608" t="str">
        <f>IF(Table1_2[[#This Row],[Total Price]]&gt;3330.41,"OUTLIER","NORMAL")</f>
        <v>NORMAL</v>
      </c>
      <c r="S608" s="5">
        <v>0</v>
      </c>
    </row>
    <row r="609" spans="1:19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 s="6">
        <v>2536.1999999999998</v>
      </c>
      <c r="O609">
        <v>2025</v>
      </c>
      <c r="P609" s="3" t="s">
        <v>4291</v>
      </c>
      <c r="Q609">
        <v>2</v>
      </c>
      <c r="R609" t="str">
        <f>IF(Table1_2[[#This Row],[Total Price]]&gt;3330.41,"OUTLIER","NORMAL")</f>
        <v>NORMAL</v>
      </c>
      <c r="S609" s="5">
        <v>0</v>
      </c>
    </row>
    <row r="610" spans="1:19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 s="6">
        <v>2715.8</v>
      </c>
      <c r="O610">
        <v>2024</v>
      </c>
      <c r="P610" s="3" t="s">
        <v>4298</v>
      </c>
      <c r="Q610">
        <v>3</v>
      </c>
      <c r="R610" t="str">
        <f>IF(Table1_2[[#This Row],[Total Price]]&gt;3330.41,"OUTLIER","NORMAL")</f>
        <v>NORMAL</v>
      </c>
      <c r="S610" s="5">
        <v>0</v>
      </c>
    </row>
    <row r="611" spans="1:19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 s="6">
        <v>1347.39</v>
      </c>
      <c r="O611">
        <v>2025</v>
      </c>
      <c r="P611" s="3" t="s">
        <v>4287</v>
      </c>
      <c r="Q611">
        <v>1</v>
      </c>
      <c r="R611" t="str">
        <f>IF(Table1_2[[#This Row],[Total Price]]&gt;3330.41,"OUTLIER","NORMAL")</f>
        <v>NORMAL</v>
      </c>
      <c r="S611" s="5">
        <v>0</v>
      </c>
    </row>
    <row r="612" spans="1:19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 s="6">
        <v>1948.1</v>
      </c>
      <c r="O612">
        <v>2024</v>
      </c>
      <c r="P612" s="3" t="s">
        <v>4292</v>
      </c>
      <c r="Q612">
        <v>2</v>
      </c>
      <c r="R612" t="str">
        <f>IF(Table1_2[[#This Row],[Total Price]]&gt;3330.41,"OUTLIER","NORMAL")</f>
        <v>NORMAL</v>
      </c>
      <c r="S612" s="5">
        <v>0</v>
      </c>
    </row>
    <row r="613" spans="1:19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 s="6">
        <v>305.17</v>
      </c>
      <c r="O613">
        <v>2023</v>
      </c>
      <c r="P613" s="3" t="s">
        <v>4294</v>
      </c>
      <c r="Q613">
        <v>2</v>
      </c>
      <c r="R613" t="str">
        <f>IF(Table1_2[[#This Row],[Total Price]]&gt;3330.41,"OUTLIER","NORMAL")</f>
        <v>NORMAL</v>
      </c>
      <c r="S613" s="5">
        <v>0</v>
      </c>
    </row>
    <row r="614" spans="1:19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4293</v>
      </c>
      <c r="M614" s="3" t="s">
        <v>4282</v>
      </c>
      <c r="N614" s="6">
        <v>1335.36</v>
      </c>
      <c r="O614">
        <v>2023</v>
      </c>
      <c r="P614" s="3" t="s">
        <v>4292</v>
      </c>
      <c r="Q614">
        <v>2</v>
      </c>
      <c r="R614" t="str">
        <f>IF(Table1_2[[#This Row],[Total Price]]&gt;3330.41,"OUTLIER","NORMAL")</f>
        <v>NORMAL</v>
      </c>
      <c r="S614" s="5">
        <v>0</v>
      </c>
    </row>
    <row r="615" spans="1:19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 s="6">
        <v>460.72</v>
      </c>
      <c r="O615">
        <v>2024</v>
      </c>
      <c r="P615" s="3" t="s">
        <v>4296</v>
      </c>
      <c r="Q615">
        <v>4</v>
      </c>
      <c r="R615" t="str">
        <f>IF(Table1_2[[#This Row],[Total Price]]&gt;3330.41,"OUTLIER","NORMAL")</f>
        <v>NORMAL</v>
      </c>
      <c r="S615" s="5">
        <v>0</v>
      </c>
    </row>
    <row r="616" spans="1:19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4293</v>
      </c>
      <c r="M616" s="3" t="s">
        <v>4279</v>
      </c>
      <c r="N616" s="6">
        <v>96.81</v>
      </c>
      <c r="O616">
        <v>2024</v>
      </c>
      <c r="P616" s="3" t="s">
        <v>4297</v>
      </c>
      <c r="Q616">
        <v>1</v>
      </c>
      <c r="R616" t="str">
        <f>IF(Table1_2[[#This Row],[Total Price]]&gt;3330.41,"OUTLIER","NORMAL")</f>
        <v>NORMAL</v>
      </c>
      <c r="S616" s="5">
        <v>0</v>
      </c>
    </row>
    <row r="617" spans="1:19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 s="6">
        <v>2300.6999999999998</v>
      </c>
      <c r="O617">
        <v>2025</v>
      </c>
      <c r="P617" s="3" t="s">
        <v>4297</v>
      </c>
      <c r="Q617">
        <v>1</v>
      </c>
      <c r="R617" t="str">
        <f>IF(Table1_2[[#This Row],[Total Price]]&gt;3330.41,"OUTLIER","NORMAL")</f>
        <v>NORMAL</v>
      </c>
      <c r="S617" s="5">
        <v>0</v>
      </c>
    </row>
    <row r="618" spans="1:19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 s="6">
        <v>1804.8</v>
      </c>
      <c r="O618">
        <v>2024</v>
      </c>
      <c r="P618" s="3" t="s">
        <v>4290</v>
      </c>
      <c r="Q618">
        <v>4</v>
      </c>
      <c r="R618" t="str">
        <f>IF(Table1_2[[#This Row],[Total Price]]&gt;3330.41,"OUTLIER","NORMAL")</f>
        <v>NORMAL</v>
      </c>
      <c r="S618" s="5">
        <v>0</v>
      </c>
    </row>
    <row r="619" spans="1:19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4293</v>
      </c>
      <c r="M619" s="3" t="s">
        <v>4279</v>
      </c>
      <c r="N619" s="6">
        <v>553.41</v>
      </c>
      <c r="O619">
        <v>2024</v>
      </c>
      <c r="P619" s="3" t="s">
        <v>4289</v>
      </c>
      <c r="Q619">
        <v>1</v>
      </c>
      <c r="R619" t="str">
        <f>IF(Table1_2[[#This Row],[Total Price]]&gt;3330.41,"OUTLIER","NORMAL")</f>
        <v>NORMAL</v>
      </c>
      <c r="S619" s="5">
        <v>0</v>
      </c>
    </row>
    <row r="620" spans="1:19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4293</v>
      </c>
      <c r="M620" s="3" t="s">
        <v>4278</v>
      </c>
      <c r="N620" s="6">
        <v>411.34</v>
      </c>
      <c r="O620">
        <v>2024</v>
      </c>
      <c r="P620" s="3" t="s">
        <v>4299</v>
      </c>
      <c r="Q620">
        <v>3</v>
      </c>
      <c r="R620" t="str">
        <f>IF(Table1_2[[#This Row],[Total Price]]&gt;3330.41,"OUTLIER","NORMAL")</f>
        <v>NORMAL</v>
      </c>
      <c r="S620" s="5">
        <v>0</v>
      </c>
    </row>
    <row r="621" spans="1:19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4293</v>
      </c>
      <c r="M621" s="3" t="s">
        <v>4279</v>
      </c>
      <c r="N621" s="6">
        <v>532.89</v>
      </c>
      <c r="O621">
        <v>2024</v>
      </c>
      <c r="P621" s="3" t="s">
        <v>4298</v>
      </c>
      <c r="Q621">
        <v>3</v>
      </c>
      <c r="R621" t="str">
        <f>IF(Table1_2[[#This Row],[Total Price]]&gt;3330.41,"OUTLIER","NORMAL")</f>
        <v>NORMAL</v>
      </c>
      <c r="S621" s="5">
        <v>0</v>
      </c>
    </row>
    <row r="622" spans="1:19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 s="6">
        <v>409.02</v>
      </c>
      <c r="O622">
        <v>2024</v>
      </c>
      <c r="P622" s="3" t="s">
        <v>4297</v>
      </c>
      <c r="Q622">
        <v>1</v>
      </c>
      <c r="R622" t="str">
        <f>IF(Table1_2[[#This Row],[Total Price]]&gt;3330.41,"OUTLIER","NORMAL")</f>
        <v>NORMAL</v>
      </c>
      <c r="S622" s="5">
        <v>0</v>
      </c>
    </row>
    <row r="623" spans="1:19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 s="6">
        <v>2380.0500000000002</v>
      </c>
      <c r="O623">
        <v>2023</v>
      </c>
      <c r="P623" s="3" t="s">
        <v>4290</v>
      </c>
      <c r="Q623">
        <v>4</v>
      </c>
      <c r="R623" t="str">
        <f>IF(Table1_2[[#This Row],[Total Price]]&gt;3330.41,"OUTLIER","NORMAL")</f>
        <v>NORMAL</v>
      </c>
      <c r="S623" s="5">
        <v>0</v>
      </c>
    </row>
    <row r="624" spans="1:19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4293</v>
      </c>
      <c r="M624" s="3" t="s">
        <v>4281</v>
      </c>
      <c r="N624" s="6">
        <v>1181.9000000000001</v>
      </c>
      <c r="O624">
        <v>2024</v>
      </c>
      <c r="P624" s="3" t="s">
        <v>4295</v>
      </c>
      <c r="Q624">
        <v>4</v>
      </c>
      <c r="R624" t="str">
        <f>IF(Table1_2[[#This Row],[Total Price]]&gt;3330.41,"OUTLIER","NORMAL")</f>
        <v>NORMAL</v>
      </c>
      <c r="S624" s="5">
        <v>0</v>
      </c>
    </row>
    <row r="625" spans="1:19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 s="6">
        <v>1188</v>
      </c>
      <c r="O625">
        <v>2023</v>
      </c>
      <c r="P625" s="3" t="s">
        <v>4292</v>
      </c>
      <c r="Q625">
        <v>2</v>
      </c>
      <c r="R625" t="str">
        <f>IF(Table1_2[[#This Row],[Total Price]]&gt;3330.41,"OUTLIER","NORMAL")</f>
        <v>NORMAL</v>
      </c>
      <c r="S625" s="5">
        <v>0</v>
      </c>
    </row>
    <row r="626" spans="1:19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4293</v>
      </c>
      <c r="M626" s="3" t="s">
        <v>4280</v>
      </c>
      <c r="N626" s="6">
        <v>1709.8</v>
      </c>
      <c r="O626">
        <v>2024</v>
      </c>
      <c r="P626" s="3" t="s">
        <v>4287</v>
      </c>
      <c r="Q626">
        <v>1</v>
      </c>
      <c r="R626" t="str">
        <f>IF(Table1_2[[#This Row],[Total Price]]&gt;3330.41,"OUTLIER","NORMAL")</f>
        <v>NORMAL</v>
      </c>
      <c r="S626" s="5">
        <v>0</v>
      </c>
    </row>
    <row r="627" spans="1:19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 s="6">
        <v>672.89</v>
      </c>
      <c r="O627">
        <v>2023</v>
      </c>
      <c r="P627" s="3" t="s">
        <v>4299</v>
      </c>
      <c r="Q627">
        <v>3</v>
      </c>
      <c r="R627" t="str">
        <f>IF(Table1_2[[#This Row],[Total Price]]&gt;3330.41,"OUTLIER","NORMAL")</f>
        <v>NORMAL</v>
      </c>
      <c r="S627" s="5">
        <v>0</v>
      </c>
    </row>
    <row r="628" spans="1:19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 s="6">
        <v>1314.96</v>
      </c>
      <c r="O628">
        <v>2024</v>
      </c>
      <c r="P628" s="3" t="s">
        <v>4297</v>
      </c>
      <c r="Q628">
        <v>1</v>
      </c>
      <c r="R628" t="str">
        <f>IF(Table1_2[[#This Row],[Total Price]]&gt;3330.41,"OUTLIER","NORMAL")</f>
        <v>NORMAL</v>
      </c>
      <c r="S628" s="5">
        <v>0</v>
      </c>
    </row>
    <row r="629" spans="1:19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 s="6">
        <v>1496.04</v>
      </c>
      <c r="O629">
        <v>2023</v>
      </c>
      <c r="P629" s="3" t="s">
        <v>4288</v>
      </c>
      <c r="Q629">
        <v>3</v>
      </c>
      <c r="R629" t="str">
        <f>IF(Table1_2[[#This Row],[Total Price]]&gt;3330.41,"OUTLIER","NORMAL")</f>
        <v>NORMAL</v>
      </c>
      <c r="S629" s="5">
        <v>0</v>
      </c>
    </row>
    <row r="630" spans="1:19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 s="6">
        <v>2793.15</v>
      </c>
      <c r="O630">
        <v>2023</v>
      </c>
      <c r="P630" s="3" t="s">
        <v>4297</v>
      </c>
      <c r="Q630">
        <v>1</v>
      </c>
      <c r="R630" t="str">
        <f>IF(Table1_2[[#This Row],[Total Price]]&gt;3330.41,"OUTLIER","NORMAL")</f>
        <v>NORMAL</v>
      </c>
      <c r="S630" s="5">
        <v>0</v>
      </c>
    </row>
    <row r="631" spans="1:19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4293</v>
      </c>
      <c r="M631" s="3" t="s">
        <v>4279</v>
      </c>
      <c r="N631" s="6">
        <v>59.19</v>
      </c>
      <c r="O631">
        <v>2023</v>
      </c>
      <c r="P631" s="3" t="s">
        <v>4298</v>
      </c>
      <c r="Q631">
        <v>3</v>
      </c>
      <c r="R631" t="str">
        <f>IF(Table1_2[[#This Row],[Total Price]]&gt;3330.41,"OUTLIER","NORMAL")</f>
        <v>NORMAL</v>
      </c>
      <c r="S631" s="5">
        <v>0</v>
      </c>
    </row>
    <row r="632" spans="1:19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4293</v>
      </c>
      <c r="M632" s="3" t="s">
        <v>4278</v>
      </c>
      <c r="N632" s="6">
        <v>1244.2</v>
      </c>
      <c r="O632">
        <v>2023</v>
      </c>
      <c r="P632" s="3" t="s">
        <v>4292</v>
      </c>
      <c r="Q632">
        <v>2</v>
      </c>
      <c r="R632" t="str">
        <f>IF(Table1_2[[#This Row],[Total Price]]&gt;3330.41,"OUTLIER","NORMAL")</f>
        <v>NORMAL</v>
      </c>
      <c r="S632" s="5">
        <v>0</v>
      </c>
    </row>
    <row r="633" spans="1:19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 s="6">
        <v>138.33000000000001</v>
      </c>
      <c r="O633">
        <v>2024</v>
      </c>
      <c r="P633" s="3" t="s">
        <v>4288</v>
      </c>
      <c r="Q633">
        <v>3</v>
      </c>
      <c r="R633" t="str">
        <f>IF(Table1_2[[#This Row],[Total Price]]&gt;3330.41,"OUTLIER","NORMAL")</f>
        <v>NORMAL</v>
      </c>
      <c r="S633" s="5">
        <v>0</v>
      </c>
    </row>
    <row r="634" spans="1:19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 s="6">
        <v>3390.8</v>
      </c>
      <c r="O634">
        <v>2023</v>
      </c>
      <c r="P634" s="3" t="s">
        <v>4291</v>
      </c>
      <c r="Q634">
        <v>2</v>
      </c>
      <c r="R634" t="str">
        <f>IF(Table1_2[[#This Row],[Total Price]]&gt;3330.41,"OUTLIER","NORMAL")</f>
        <v>OUTLIER</v>
      </c>
      <c r="S634" s="5">
        <v>0</v>
      </c>
    </row>
    <row r="635" spans="1:19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 s="6">
        <v>3008.6</v>
      </c>
      <c r="O635">
        <v>2024</v>
      </c>
      <c r="P635" s="3" t="s">
        <v>4294</v>
      </c>
      <c r="Q635">
        <v>2</v>
      </c>
      <c r="R635" t="str">
        <f>IF(Table1_2[[#This Row],[Total Price]]&gt;3330.41,"OUTLIER","NORMAL")</f>
        <v>NORMAL</v>
      </c>
      <c r="S635" s="5">
        <v>0</v>
      </c>
    </row>
    <row r="636" spans="1:19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 s="6">
        <v>518.64</v>
      </c>
      <c r="O636">
        <v>2024</v>
      </c>
      <c r="P636" s="3" t="s">
        <v>4294</v>
      </c>
      <c r="Q636">
        <v>2</v>
      </c>
      <c r="R636" t="str">
        <f>IF(Table1_2[[#This Row],[Total Price]]&gt;3330.41,"OUTLIER","NORMAL")</f>
        <v>NORMAL</v>
      </c>
      <c r="S636" s="5">
        <v>0</v>
      </c>
    </row>
    <row r="637" spans="1:19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4293</v>
      </c>
      <c r="M637" s="3" t="s">
        <v>4281</v>
      </c>
      <c r="N637" s="6">
        <v>191.04</v>
      </c>
      <c r="O637">
        <v>2023</v>
      </c>
      <c r="P637" s="3" t="s">
        <v>4296</v>
      </c>
      <c r="Q637">
        <v>4</v>
      </c>
      <c r="R637" t="str">
        <f>IF(Table1_2[[#This Row],[Total Price]]&gt;3330.41,"OUTLIER","NORMAL")</f>
        <v>NORMAL</v>
      </c>
      <c r="S637" s="5">
        <v>0</v>
      </c>
    </row>
    <row r="638" spans="1:19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 s="6">
        <v>1484.28</v>
      </c>
      <c r="O638">
        <v>2023</v>
      </c>
      <c r="P638" s="3" t="s">
        <v>4290</v>
      </c>
      <c r="Q638">
        <v>4</v>
      </c>
      <c r="R638" t="str">
        <f>IF(Table1_2[[#This Row],[Total Price]]&gt;3330.41,"OUTLIER","NORMAL")</f>
        <v>NORMAL</v>
      </c>
      <c r="S638" s="5">
        <v>0</v>
      </c>
    </row>
    <row r="639" spans="1:19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 s="6">
        <v>1225.4000000000001</v>
      </c>
      <c r="O639">
        <v>2024</v>
      </c>
      <c r="P639" s="3" t="s">
        <v>4299</v>
      </c>
      <c r="Q639">
        <v>3</v>
      </c>
      <c r="R639" t="str">
        <f>IF(Table1_2[[#This Row],[Total Price]]&gt;3330.41,"OUTLIER","NORMAL")</f>
        <v>NORMAL</v>
      </c>
      <c r="S639" s="5">
        <v>0</v>
      </c>
    </row>
    <row r="640" spans="1:19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 s="6">
        <v>2313.08</v>
      </c>
      <c r="O640">
        <v>2023</v>
      </c>
      <c r="P640" s="3" t="s">
        <v>4290</v>
      </c>
      <c r="Q640">
        <v>4</v>
      </c>
      <c r="R640" t="str">
        <f>IF(Table1_2[[#This Row],[Total Price]]&gt;3330.41,"OUTLIER","NORMAL")</f>
        <v>NORMAL</v>
      </c>
      <c r="S640" s="5">
        <v>0</v>
      </c>
    </row>
    <row r="641" spans="1:19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4293</v>
      </c>
      <c r="M641" s="3" t="s">
        <v>4279</v>
      </c>
      <c r="N641" s="6">
        <v>529.19000000000005</v>
      </c>
      <c r="O641">
        <v>2023</v>
      </c>
      <c r="P641" s="3" t="s">
        <v>4287</v>
      </c>
      <c r="Q641">
        <v>1</v>
      </c>
      <c r="R641" t="str">
        <f>IF(Table1_2[[#This Row],[Total Price]]&gt;3330.41,"OUTLIER","NORMAL")</f>
        <v>NORMAL</v>
      </c>
      <c r="S641" s="5">
        <v>0</v>
      </c>
    </row>
    <row r="642" spans="1:19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 s="6">
        <v>1174.98</v>
      </c>
      <c r="O642">
        <v>2024</v>
      </c>
      <c r="P642" s="3" t="s">
        <v>4289</v>
      </c>
      <c r="Q642">
        <v>1</v>
      </c>
      <c r="R642" t="str">
        <f>IF(Table1_2[[#This Row],[Total Price]]&gt;3330.41,"OUTLIER","NORMAL")</f>
        <v>NORMAL</v>
      </c>
      <c r="S642" s="5">
        <v>0</v>
      </c>
    </row>
    <row r="643" spans="1:19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 s="6">
        <v>2270.2800000000002</v>
      </c>
      <c r="O643">
        <v>2024</v>
      </c>
      <c r="P643" s="3" t="s">
        <v>4292</v>
      </c>
      <c r="Q643">
        <v>2</v>
      </c>
      <c r="R643" t="str">
        <f>IF(Table1_2[[#This Row],[Total Price]]&gt;3330.41,"OUTLIER","NORMAL")</f>
        <v>NORMAL</v>
      </c>
      <c r="S643" s="5">
        <v>0</v>
      </c>
    </row>
    <row r="644" spans="1:19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 s="6">
        <v>426.1</v>
      </c>
      <c r="O644">
        <v>2024</v>
      </c>
      <c r="P644" s="3" t="s">
        <v>4294</v>
      </c>
      <c r="Q644">
        <v>2</v>
      </c>
      <c r="R644" t="str">
        <f>IF(Table1_2[[#This Row],[Total Price]]&gt;3330.41,"OUTLIER","NORMAL")</f>
        <v>NORMAL</v>
      </c>
      <c r="S644" s="5">
        <v>0</v>
      </c>
    </row>
    <row r="645" spans="1:19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 s="6">
        <v>438.37</v>
      </c>
      <c r="O645">
        <v>2024</v>
      </c>
      <c r="P645" s="3" t="s">
        <v>4288</v>
      </c>
      <c r="Q645">
        <v>3</v>
      </c>
      <c r="R645" t="str">
        <f>IF(Table1_2[[#This Row],[Total Price]]&gt;3330.41,"OUTLIER","NORMAL")</f>
        <v>NORMAL</v>
      </c>
      <c r="S645" s="5">
        <v>0</v>
      </c>
    </row>
    <row r="646" spans="1:19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 s="6">
        <v>732.46</v>
      </c>
      <c r="O646">
        <v>2023</v>
      </c>
      <c r="P646" s="3" t="s">
        <v>4295</v>
      </c>
      <c r="Q646">
        <v>4</v>
      </c>
      <c r="R646" t="str">
        <f>IF(Table1_2[[#This Row],[Total Price]]&gt;3330.41,"OUTLIER","NORMAL")</f>
        <v>NORMAL</v>
      </c>
      <c r="S646" s="5">
        <v>0</v>
      </c>
    </row>
    <row r="647" spans="1:19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 s="6">
        <v>300.10000000000002</v>
      </c>
      <c r="O647">
        <v>2023</v>
      </c>
      <c r="P647" s="3" t="s">
        <v>4287</v>
      </c>
      <c r="Q647">
        <v>1</v>
      </c>
      <c r="R647" t="str">
        <f>IF(Table1_2[[#This Row],[Total Price]]&gt;3330.41,"OUTLIER","NORMAL")</f>
        <v>NORMAL</v>
      </c>
      <c r="S647" s="5">
        <v>0</v>
      </c>
    </row>
    <row r="648" spans="1:19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 s="6">
        <v>1994.04</v>
      </c>
      <c r="O648">
        <v>2023</v>
      </c>
      <c r="P648" s="3" t="s">
        <v>4290</v>
      </c>
      <c r="Q648">
        <v>4</v>
      </c>
      <c r="R648" t="str">
        <f>IF(Table1_2[[#This Row],[Total Price]]&gt;3330.41,"OUTLIER","NORMAL")</f>
        <v>NORMAL</v>
      </c>
      <c r="S648" s="5">
        <v>0</v>
      </c>
    </row>
    <row r="649" spans="1:19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 s="6">
        <v>1018.17</v>
      </c>
      <c r="O649">
        <v>2025</v>
      </c>
      <c r="P649" s="3" t="s">
        <v>4294</v>
      </c>
      <c r="Q649">
        <v>2</v>
      </c>
      <c r="R649" t="str">
        <f>IF(Table1_2[[#This Row],[Total Price]]&gt;3330.41,"OUTLIER","NORMAL")</f>
        <v>NORMAL</v>
      </c>
      <c r="S649" s="5">
        <v>0</v>
      </c>
    </row>
    <row r="650" spans="1:19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 s="6">
        <v>1151.6600000000001</v>
      </c>
      <c r="O650">
        <v>2025</v>
      </c>
      <c r="P650" s="3" t="s">
        <v>4287</v>
      </c>
      <c r="Q650">
        <v>1</v>
      </c>
      <c r="R650" t="str">
        <f>IF(Table1_2[[#This Row],[Total Price]]&gt;3330.41,"OUTLIER","NORMAL")</f>
        <v>NORMAL</v>
      </c>
      <c r="S650" s="5">
        <v>0</v>
      </c>
    </row>
    <row r="651" spans="1:19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 s="6">
        <v>1285.96</v>
      </c>
      <c r="O651">
        <v>2023</v>
      </c>
      <c r="P651" s="3" t="s">
        <v>4296</v>
      </c>
      <c r="Q651">
        <v>4</v>
      </c>
      <c r="R651" t="str">
        <f>IF(Table1_2[[#This Row],[Total Price]]&gt;3330.41,"OUTLIER","NORMAL")</f>
        <v>NORMAL</v>
      </c>
      <c r="S651" s="5">
        <v>0</v>
      </c>
    </row>
    <row r="652" spans="1:19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 s="6">
        <v>744.46</v>
      </c>
      <c r="O652">
        <v>2023</v>
      </c>
      <c r="P652" s="3" t="s">
        <v>4291</v>
      </c>
      <c r="Q652">
        <v>2</v>
      </c>
      <c r="R652" t="str">
        <f>IF(Table1_2[[#This Row],[Total Price]]&gt;3330.41,"OUTLIER","NORMAL")</f>
        <v>NORMAL</v>
      </c>
      <c r="S652" s="5">
        <v>0</v>
      </c>
    </row>
    <row r="653" spans="1:19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4293</v>
      </c>
      <c r="M653" s="3" t="s">
        <v>4282</v>
      </c>
      <c r="N653" s="6">
        <v>1939.02</v>
      </c>
      <c r="O653">
        <v>2024</v>
      </c>
      <c r="P653" s="3" t="s">
        <v>4295</v>
      </c>
      <c r="Q653">
        <v>4</v>
      </c>
      <c r="R653" t="str">
        <f>IF(Table1_2[[#This Row],[Total Price]]&gt;3330.41,"OUTLIER","NORMAL")</f>
        <v>NORMAL</v>
      </c>
      <c r="S653" s="5">
        <v>0</v>
      </c>
    </row>
    <row r="654" spans="1:19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 s="6">
        <v>1709.2</v>
      </c>
      <c r="O654">
        <v>2024</v>
      </c>
      <c r="P654" s="3" t="s">
        <v>4292</v>
      </c>
      <c r="Q654">
        <v>2</v>
      </c>
      <c r="R654" t="str">
        <f>IF(Table1_2[[#This Row],[Total Price]]&gt;3330.41,"OUTLIER","NORMAL")</f>
        <v>NORMAL</v>
      </c>
      <c r="S654" s="5">
        <v>0</v>
      </c>
    </row>
    <row r="655" spans="1:19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 s="6">
        <v>2070.9</v>
      </c>
      <c r="O655">
        <v>2024</v>
      </c>
      <c r="P655" s="3" t="s">
        <v>4289</v>
      </c>
      <c r="Q655">
        <v>1</v>
      </c>
      <c r="R655" t="str">
        <f>IF(Table1_2[[#This Row],[Total Price]]&gt;3330.41,"OUTLIER","NORMAL")</f>
        <v>NORMAL</v>
      </c>
      <c r="S655" s="5">
        <v>0</v>
      </c>
    </row>
    <row r="656" spans="1:19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4293</v>
      </c>
      <c r="M656" s="3" t="s">
        <v>4278</v>
      </c>
      <c r="N656" s="6">
        <v>1147.1099999999999</v>
      </c>
      <c r="O656">
        <v>2023</v>
      </c>
      <c r="P656" s="3" t="s">
        <v>4292</v>
      </c>
      <c r="Q656">
        <v>2</v>
      </c>
      <c r="R656" t="str">
        <f>IF(Table1_2[[#This Row],[Total Price]]&gt;3330.41,"OUTLIER","NORMAL")</f>
        <v>NORMAL</v>
      </c>
      <c r="S656" s="5">
        <v>0</v>
      </c>
    </row>
    <row r="657" spans="1:19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 s="6">
        <v>265.2</v>
      </c>
      <c r="O657">
        <v>2023</v>
      </c>
      <c r="P657" s="3" t="s">
        <v>4297</v>
      </c>
      <c r="Q657">
        <v>1</v>
      </c>
      <c r="R657" t="str">
        <f>IF(Table1_2[[#This Row],[Total Price]]&gt;3330.41,"OUTLIER","NORMAL")</f>
        <v>NORMAL</v>
      </c>
      <c r="S657" s="5">
        <v>0</v>
      </c>
    </row>
    <row r="658" spans="1:19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 s="6">
        <v>378.12</v>
      </c>
      <c r="O658">
        <v>2024</v>
      </c>
      <c r="P658" s="3" t="s">
        <v>4287</v>
      </c>
      <c r="Q658">
        <v>1</v>
      </c>
      <c r="R658" t="str">
        <f>IF(Table1_2[[#This Row],[Total Price]]&gt;3330.41,"OUTLIER","NORMAL")</f>
        <v>NORMAL</v>
      </c>
      <c r="S658" s="5">
        <v>0</v>
      </c>
    </row>
    <row r="659" spans="1:19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 s="6">
        <v>351.16</v>
      </c>
      <c r="O659">
        <v>2023</v>
      </c>
      <c r="P659" s="3" t="s">
        <v>4296</v>
      </c>
      <c r="Q659">
        <v>4</v>
      </c>
      <c r="R659" t="str">
        <f>IF(Table1_2[[#This Row],[Total Price]]&gt;3330.41,"OUTLIER","NORMAL")</f>
        <v>NORMAL</v>
      </c>
      <c r="S659" s="5">
        <v>0</v>
      </c>
    </row>
    <row r="660" spans="1:19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 s="6">
        <v>92.72</v>
      </c>
      <c r="O660">
        <v>2025</v>
      </c>
      <c r="P660" s="3" t="s">
        <v>4294</v>
      </c>
      <c r="Q660">
        <v>2</v>
      </c>
      <c r="R660" t="str">
        <f>IF(Table1_2[[#This Row],[Total Price]]&gt;3330.41,"OUTLIER","NORMAL")</f>
        <v>NORMAL</v>
      </c>
      <c r="S660" s="5">
        <v>0</v>
      </c>
    </row>
    <row r="661" spans="1:19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 s="6">
        <v>1284.08</v>
      </c>
      <c r="O661">
        <v>2024</v>
      </c>
      <c r="P661" s="3" t="s">
        <v>4290</v>
      </c>
      <c r="Q661">
        <v>4</v>
      </c>
      <c r="R661" t="str">
        <f>IF(Table1_2[[#This Row],[Total Price]]&gt;3330.41,"OUTLIER","NORMAL")</f>
        <v>NORMAL</v>
      </c>
      <c r="S661" s="5">
        <v>0</v>
      </c>
    </row>
    <row r="662" spans="1:19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 s="6">
        <v>1303.1400000000001</v>
      </c>
      <c r="O662">
        <v>2024</v>
      </c>
      <c r="P662" s="3" t="s">
        <v>4290</v>
      </c>
      <c r="Q662">
        <v>4</v>
      </c>
      <c r="R662" t="str">
        <f>IF(Table1_2[[#This Row],[Total Price]]&gt;3330.41,"OUTLIER","NORMAL")</f>
        <v>NORMAL</v>
      </c>
      <c r="S662" s="5">
        <v>0</v>
      </c>
    </row>
    <row r="663" spans="1:19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 s="6">
        <v>1274.67</v>
      </c>
      <c r="O663">
        <v>2025</v>
      </c>
      <c r="P663" s="3" t="s">
        <v>4289</v>
      </c>
      <c r="Q663">
        <v>1</v>
      </c>
      <c r="R663" t="str">
        <f>IF(Table1_2[[#This Row],[Total Price]]&gt;3330.41,"OUTLIER","NORMAL")</f>
        <v>NORMAL</v>
      </c>
      <c r="S663" s="5">
        <v>0</v>
      </c>
    </row>
    <row r="664" spans="1:19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4293</v>
      </c>
      <c r="M664" s="3" t="s">
        <v>4281</v>
      </c>
      <c r="N664" s="6">
        <v>1316.67</v>
      </c>
      <c r="O664">
        <v>2023</v>
      </c>
      <c r="P664" s="3" t="s">
        <v>4287</v>
      </c>
      <c r="Q664">
        <v>1</v>
      </c>
      <c r="R664" t="str">
        <f>IF(Table1_2[[#This Row],[Total Price]]&gt;3330.41,"OUTLIER","NORMAL")</f>
        <v>NORMAL</v>
      </c>
      <c r="S664" s="5">
        <v>0</v>
      </c>
    </row>
    <row r="665" spans="1:19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 s="6">
        <v>72.599999999999994</v>
      </c>
      <c r="O665">
        <v>2024</v>
      </c>
      <c r="P665" s="3" t="s">
        <v>4294</v>
      </c>
      <c r="Q665">
        <v>2</v>
      </c>
      <c r="R665" t="str">
        <f>IF(Table1_2[[#This Row],[Total Price]]&gt;3330.41,"OUTLIER","NORMAL")</f>
        <v>NORMAL</v>
      </c>
      <c r="S665" s="5">
        <v>0</v>
      </c>
    </row>
    <row r="666" spans="1:19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4293</v>
      </c>
      <c r="M666" s="3" t="s">
        <v>4281</v>
      </c>
      <c r="N666" s="6">
        <v>779</v>
      </c>
      <c r="O666">
        <v>2024</v>
      </c>
      <c r="P666" s="3" t="s">
        <v>4296</v>
      </c>
      <c r="Q666">
        <v>4</v>
      </c>
      <c r="R666" t="str">
        <f>IF(Table1_2[[#This Row],[Total Price]]&gt;3330.41,"OUTLIER","NORMAL")</f>
        <v>NORMAL</v>
      </c>
      <c r="S666" s="5">
        <v>0</v>
      </c>
    </row>
    <row r="667" spans="1:19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 s="6">
        <v>925.04</v>
      </c>
      <c r="O667">
        <v>2023</v>
      </c>
      <c r="P667" s="3" t="s">
        <v>4291</v>
      </c>
      <c r="Q667">
        <v>2</v>
      </c>
      <c r="R667" t="str">
        <f>IF(Table1_2[[#This Row],[Total Price]]&gt;3330.41,"OUTLIER","NORMAL")</f>
        <v>NORMAL</v>
      </c>
      <c r="S667" s="5">
        <v>0</v>
      </c>
    </row>
    <row r="668" spans="1:19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4293</v>
      </c>
      <c r="M668" s="3" t="s">
        <v>4280</v>
      </c>
      <c r="N668" s="6">
        <v>1308.48</v>
      </c>
      <c r="O668">
        <v>2024</v>
      </c>
      <c r="P668" s="3" t="s">
        <v>4288</v>
      </c>
      <c r="Q668">
        <v>3</v>
      </c>
      <c r="R668" t="str">
        <f>IF(Table1_2[[#This Row],[Total Price]]&gt;3330.41,"OUTLIER","NORMAL")</f>
        <v>NORMAL</v>
      </c>
      <c r="S668" s="5">
        <v>0</v>
      </c>
    </row>
    <row r="669" spans="1:19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 s="6">
        <v>466.42</v>
      </c>
      <c r="O669">
        <v>2023</v>
      </c>
      <c r="P669" s="3" t="s">
        <v>4291</v>
      </c>
      <c r="Q669">
        <v>2</v>
      </c>
      <c r="R669" t="str">
        <f>IF(Table1_2[[#This Row],[Total Price]]&gt;3330.41,"OUTLIER","NORMAL")</f>
        <v>NORMAL</v>
      </c>
      <c r="S669" s="5">
        <v>0</v>
      </c>
    </row>
    <row r="670" spans="1:19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 s="6">
        <v>507.34</v>
      </c>
      <c r="O670">
        <v>2024</v>
      </c>
      <c r="P670" s="3" t="s">
        <v>4298</v>
      </c>
      <c r="Q670">
        <v>3</v>
      </c>
      <c r="R670" t="str">
        <f>IF(Table1_2[[#This Row],[Total Price]]&gt;3330.41,"OUTLIER","NORMAL")</f>
        <v>NORMAL</v>
      </c>
      <c r="S670" s="5">
        <v>0</v>
      </c>
    </row>
    <row r="671" spans="1:19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4293</v>
      </c>
      <c r="M671" s="3" t="s">
        <v>4279</v>
      </c>
      <c r="N671" s="6">
        <v>257</v>
      </c>
      <c r="O671">
        <v>2023</v>
      </c>
      <c r="P671" s="3" t="s">
        <v>4289</v>
      </c>
      <c r="Q671">
        <v>1</v>
      </c>
      <c r="R671" t="str">
        <f>IF(Table1_2[[#This Row],[Total Price]]&gt;3330.41,"OUTLIER","NORMAL")</f>
        <v>NORMAL</v>
      </c>
      <c r="S671" s="5">
        <v>0</v>
      </c>
    </row>
    <row r="672" spans="1:19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 s="6">
        <v>2156.8000000000002</v>
      </c>
      <c r="O672">
        <v>2024</v>
      </c>
      <c r="P672" s="3" t="s">
        <v>4294</v>
      </c>
      <c r="Q672">
        <v>2</v>
      </c>
      <c r="R672" t="str">
        <f>IF(Table1_2[[#This Row],[Total Price]]&gt;3330.41,"OUTLIER","NORMAL")</f>
        <v>NORMAL</v>
      </c>
      <c r="S672" s="5">
        <v>0</v>
      </c>
    </row>
    <row r="673" spans="1:19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 s="6">
        <v>253.7</v>
      </c>
      <c r="O673">
        <v>2023</v>
      </c>
      <c r="P673" s="3" t="s">
        <v>4292</v>
      </c>
      <c r="Q673">
        <v>2</v>
      </c>
      <c r="R673" t="str">
        <f>IF(Table1_2[[#This Row],[Total Price]]&gt;3330.41,"OUTLIER","NORMAL")</f>
        <v>NORMAL</v>
      </c>
      <c r="S673" s="5">
        <v>0</v>
      </c>
    </row>
    <row r="674" spans="1:19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 s="6">
        <v>1248.32</v>
      </c>
      <c r="O674">
        <v>2023</v>
      </c>
      <c r="P674" s="3" t="s">
        <v>4291</v>
      </c>
      <c r="Q674">
        <v>2</v>
      </c>
      <c r="R674" t="str">
        <f>IF(Table1_2[[#This Row],[Total Price]]&gt;3330.41,"OUTLIER","NORMAL")</f>
        <v>NORMAL</v>
      </c>
      <c r="S674" s="5">
        <v>0</v>
      </c>
    </row>
    <row r="675" spans="1:19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 s="6">
        <v>745.84</v>
      </c>
      <c r="O675">
        <v>2023</v>
      </c>
      <c r="P675" s="3" t="s">
        <v>4289</v>
      </c>
      <c r="Q675">
        <v>1</v>
      </c>
      <c r="R675" t="str">
        <f>IF(Table1_2[[#This Row],[Total Price]]&gt;3330.41,"OUTLIER","NORMAL")</f>
        <v>NORMAL</v>
      </c>
      <c r="S675" s="5">
        <v>0</v>
      </c>
    </row>
    <row r="676" spans="1:19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 s="6">
        <v>1435</v>
      </c>
      <c r="O676">
        <v>2024</v>
      </c>
      <c r="P676" s="3" t="s">
        <v>4287</v>
      </c>
      <c r="Q676">
        <v>1</v>
      </c>
      <c r="R676" t="str">
        <f>IF(Table1_2[[#This Row],[Total Price]]&gt;3330.41,"OUTLIER","NORMAL")</f>
        <v>NORMAL</v>
      </c>
      <c r="S676" s="5">
        <v>0</v>
      </c>
    </row>
    <row r="677" spans="1:19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4293</v>
      </c>
      <c r="M677" s="3" t="s">
        <v>4280</v>
      </c>
      <c r="N677" s="6">
        <v>1026.06</v>
      </c>
      <c r="O677">
        <v>2024</v>
      </c>
      <c r="P677" s="3" t="s">
        <v>4288</v>
      </c>
      <c r="Q677">
        <v>3</v>
      </c>
      <c r="R677" t="str">
        <f>IF(Table1_2[[#This Row],[Total Price]]&gt;3330.41,"OUTLIER","NORMAL")</f>
        <v>NORMAL</v>
      </c>
      <c r="S677" s="5">
        <v>0</v>
      </c>
    </row>
    <row r="678" spans="1:19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 s="6">
        <v>844.68</v>
      </c>
      <c r="O678">
        <v>2025</v>
      </c>
      <c r="P678" s="3" t="s">
        <v>4292</v>
      </c>
      <c r="Q678">
        <v>2</v>
      </c>
      <c r="R678" t="str">
        <f>IF(Table1_2[[#This Row],[Total Price]]&gt;3330.41,"OUTLIER","NORMAL")</f>
        <v>NORMAL</v>
      </c>
      <c r="S678" s="5">
        <v>0</v>
      </c>
    </row>
    <row r="679" spans="1:19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 s="6">
        <v>110.35</v>
      </c>
      <c r="O679">
        <v>2025</v>
      </c>
      <c r="P679" s="3" t="s">
        <v>4294</v>
      </c>
      <c r="Q679">
        <v>2</v>
      </c>
      <c r="R679" t="str">
        <f>IF(Table1_2[[#This Row],[Total Price]]&gt;3330.41,"OUTLIER","NORMAL")</f>
        <v>NORMAL</v>
      </c>
      <c r="S679" s="5">
        <v>0</v>
      </c>
    </row>
    <row r="680" spans="1:19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 s="6">
        <v>489.39</v>
      </c>
      <c r="O680">
        <v>2024</v>
      </c>
      <c r="P680" s="3" t="s">
        <v>4295</v>
      </c>
      <c r="Q680">
        <v>4</v>
      </c>
      <c r="R680" t="str">
        <f>IF(Table1_2[[#This Row],[Total Price]]&gt;3330.41,"OUTLIER","NORMAL")</f>
        <v>NORMAL</v>
      </c>
      <c r="S680" s="5">
        <v>0</v>
      </c>
    </row>
    <row r="681" spans="1:19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 s="6">
        <v>1081.98</v>
      </c>
      <c r="O681">
        <v>2023</v>
      </c>
      <c r="P681" s="3" t="s">
        <v>4289</v>
      </c>
      <c r="Q681">
        <v>1</v>
      </c>
      <c r="R681" t="str">
        <f>IF(Table1_2[[#This Row],[Total Price]]&gt;3330.41,"OUTLIER","NORMAL")</f>
        <v>NORMAL</v>
      </c>
      <c r="S681" s="5">
        <v>0</v>
      </c>
    </row>
    <row r="682" spans="1:19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4293</v>
      </c>
      <c r="M682" s="3" t="s">
        <v>4281</v>
      </c>
      <c r="N682" s="6">
        <v>1390.17</v>
      </c>
      <c r="O682">
        <v>2023</v>
      </c>
      <c r="P682" s="3" t="s">
        <v>4288</v>
      </c>
      <c r="Q682">
        <v>3</v>
      </c>
      <c r="R682" t="str">
        <f>IF(Table1_2[[#This Row],[Total Price]]&gt;3330.41,"OUTLIER","NORMAL")</f>
        <v>NORMAL</v>
      </c>
      <c r="S682" s="5">
        <v>0</v>
      </c>
    </row>
    <row r="683" spans="1:19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4293</v>
      </c>
      <c r="M683" s="3" t="s">
        <v>4280</v>
      </c>
      <c r="N683" s="6">
        <v>155.27000000000001</v>
      </c>
      <c r="O683">
        <v>2024</v>
      </c>
      <c r="P683" s="3" t="s">
        <v>4287</v>
      </c>
      <c r="Q683">
        <v>1</v>
      </c>
      <c r="R683" t="str">
        <f>IF(Table1_2[[#This Row],[Total Price]]&gt;3330.41,"OUTLIER","NORMAL")</f>
        <v>NORMAL</v>
      </c>
      <c r="S683" s="5">
        <v>0</v>
      </c>
    </row>
    <row r="684" spans="1:19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 s="6">
        <v>1528.26</v>
      </c>
      <c r="O684">
        <v>2023</v>
      </c>
      <c r="P684" s="3" t="s">
        <v>4298</v>
      </c>
      <c r="Q684">
        <v>3</v>
      </c>
      <c r="R684" t="str">
        <f>IF(Table1_2[[#This Row],[Total Price]]&gt;3330.41,"OUTLIER","NORMAL")</f>
        <v>NORMAL</v>
      </c>
      <c r="S684" s="5">
        <v>0</v>
      </c>
    </row>
    <row r="685" spans="1:19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 s="6">
        <v>2609.92</v>
      </c>
      <c r="O685">
        <v>2025</v>
      </c>
      <c r="P685" s="3" t="s">
        <v>4291</v>
      </c>
      <c r="Q685">
        <v>2</v>
      </c>
      <c r="R685" t="str">
        <f>IF(Table1_2[[#This Row],[Total Price]]&gt;3330.41,"OUTLIER","NORMAL")</f>
        <v>NORMAL</v>
      </c>
      <c r="S685" s="5">
        <v>0</v>
      </c>
    </row>
    <row r="686" spans="1:19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4293</v>
      </c>
      <c r="M686" s="3" t="s">
        <v>4280</v>
      </c>
      <c r="N686" s="6">
        <v>139.36000000000001</v>
      </c>
      <c r="O686">
        <v>2024</v>
      </c>
      <c r="P686" s="3" t="s">
        <v>4299</v>
      </c>
      <c r="Q686">
        <v>3</v>
      </c>
      <c r="R686" t="str">
        <f>IF(Table1_2[[#This Row],[Total Price]]&gt;3330.41,"OUTLIER","NORMAL")</f>
        <v>NORMAL</v>
      </c>
      <c r="S686" s="5">
        <v>0</v>
      </c>
    </row>
    <row r="687" spans="1:19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 s="6">
        <v>234.37</v>
      </c>
      <c r="O687">
        <v>2025</v>
      </c>
      <c r="P687" s="3" t="s">
        <v>4289</v>
      </c>
      <c r="Q687">
        <v>1</v>
      </c>
      <c r="R687" t="str">
        <f>IF(Table1_2[[#This Row],[Total Price]]&gt;3330.41,"OUTLIER","NORMAL")</f>
        <v>NORMAL</v>
      </c>
      <c r="S687" s="5">
        <v>0</v>
      </c>
    </row>
    <row r="688" spans="1:19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 s="6">
        <v>160.80000000000001</v>
      </c>
      <c r="O688">
        <v>2023</v>
      </c>
      <c r="P688" s="3" t="s">
        <v>4290</v>
      </c>
      <c r="Q688">
        <v>4</v>
      </c>
      <c r="R688" t="str">
        <f>IF(Table1_2[[#This Row],[Total Price]]&gt;3330.41,"OUTLIER","NORMAL")</f>
        <v>NORMAL</v>
      </c>
      <c r="S688" s="5">
        <v>0</v>
      </c>
    </row>
    <row r="689" spans="1:19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 s="6">
        <v>332.09</v>
      </c>
      <c r="O689">
        <v>2023</v>
      </c>
      <c r="P689" s="3" t="s">
        <v>4299</v>
      </c>
      <c r="Q689">
        <v>3</v>
      </c>
      <c r="R689" t="str">
        <f>IF(Table1_2[[#This Row],[Total Price]]&gt;3330.41,"OUTLIER","NORMAL")</f>
        <v>NORMAL</v>
      </c>
      <c r="S689" s="5">
        <v>0</v>
      </c>
    </row>
    <row r="690" spans="1:19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 s="6">
        <v>2372.88</v>
      </c>
      <c r="O690">
        <v>2024</v>
      </c>
      <c r="P690" s="3" t="s">
        <v>4297</v>
      </c>
      <c r="Q690">
        <v>1</v>
      </c>
      <c r="R690" t="str">
        <f>IF(Table1_2[[#This Row],[Total Price]]&gt;3330.41,"OUTLIER","NORMAL")</f>
        <v>NORMAL</v>
      </c>
      <c r="S690" s="5">
        <v>0</v>
      </c>
    </row>
    <row r="691" spans="1:19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4293</v>
      </c>
      <c r="M691" s="3" t="s">
        <v>4281</v>
      </c>
      <c r="N691" s="6">
        <v>889.68</v>
      </c>
      <c r="O691">
        <v>2023</v>
      </c>
      <c r="P691" s="3" t="s">
        <v>4288</v>
      </c>
      <c r="Q691">
        <v>3</v>
      </c>
      <c r="R691" t="str">
        <f>IF(Table1_2[[#This Row],[Total Price]]&gt;3330.41,"OUTLIER","NORMAL")</f>
        <v>NORMAL</v>
      </c>
      <c r="S691" s="5">
        <v>0</v>
      </c>
    </row>
    <row r="692" spans="1:19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4293</v>
      </c>
      <c r="M692" s="3" t="s">
        <v>4278</v>
      </c>
      <c r="N692" s="6">
        <v>24.48</v>
      </c>
      <c r="O692">
        <v>2024</v>
      </c>
      <c r="P692" s="3" t="s">
        <v>4298</v>
      </c>
      <c r="Q692">
        <v>3</v>
      </c>
      <c r="R692" t="str">
        <f>IF(Table1_2[[#This Row],[Total Price]]&gt;3330.41,"OUTLIER","NORMAL")</f>
        <v>NORMAL</v>
      </c>
      <c r="S692" s="5">
        <v>0</v>
      </c>
    </row>
    <row r="693" spans="1:19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4293</v>
      </c>
      <c r="M693" s="3" t="s">
        <v>4282</v>
      </c>
      <c r="N693" s="6">
        <v>717.24</v>
      </c>
      <c r="O693">
        <v>2024</v>
      </c>
      <c r="P693" s="3" t="s">
        <v>4295</v>
      </c>
      <c r="Q693">
        <v>4</v>
      </c>
      <c r="R693" t="str">
        <f>IF(Table1_2[[#This Row],[Total Price]]&gt;3330.41,"OUTLIER","NORMAL")</f>
        <v>NORMAL</v>
      </c>
      <c r="S693" s="5">
        <v>0</v>
      </c>
    </row>
    <row r="694" spans="1:19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 s="6">
        <v>984.2</v>
      </c>
      <c r="O694">
        <v>2023</v>
      </c>
      <c r="P694" s="3" t="s">
        <v>4287</v>
      </c>
      <c r="Q694">
        <v>1</v>
      </c>
      <c r="R694" t="str">
        <f>IF(Table1_2[[#This Row],[Total Price]]&gt;3330.41,"OUTLIER","NORMAL")</f>
        <v>NORMAL</v>
      </c>
      <c r="S694" s="5">
        <v>0</v>
      </c>
    </row>
    <row r="695" spans="1:19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4293</v>
      </c>
      <c r="M695" s="3" t="s">
        <v>4279</v>
      </c>
      <c r="N695" s="6">
        <v>176.58</v>
      </c>
      <c r="O695">
        <v>2025</v>
      </c>
      <c r="P695" s="3" t="s">
        <v>4297</v>
      </c>
      <c r="Q695">
        <v>1</v>
      </c>
      <c r="R695" t="str">
        <f>IF(Table1_2[[#This Row],[Total Price]]&gt;3330.41,"OUTLIER","NORMAL")</f>
        <v>NORMAL</v>
      </c>
      <c r="S695" s="5">
        <v>0</v>
      </c>
    </row>
    <row r="696" spans="1:19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 s="6">
        <v>2666.08</v>
      </c>
      <c r="O696">
        <v>2023</v>
      </c>
      <c r="P696" s="3" t="s">
        <v>4290</v>
      </c>
      <c r="Q696">
        <v>4</v>
      </c>
      <c r="R696" t="str">
        <f>IF(Table1_2[[#This Row],[Total Price]]&gt;3330.41,"OUTLIER","NORMAL")</f>
        <v>NORMAL</v>
      </c>
      <c r="S696" s="5">
        <v>0</v>
      </c>
    </row>
    <row r="697" spans="1:19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 s="6">
        <v>506.5</v>
      </c>
      <c r="O697">
        <v>2024</v>
      </c>
      <c r="P697" s="3" t="s">
        <v>4295</v>
      </c>
      <c r="Q697">
        <v>4</v>
      </c>
      <c r="R697" t="str">
        <f>IF(Table1_2[[#This Row],[Total Price]]&gt;3330.41,"OUTLIER","NORMAL")</f>
        <v>NORMAL</v>
      </c>
      <c r="S697" s="5">
        <v>0</v>
      </c>
    </row>
    <row r="698" spans="1:19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 s="6">
        <v>604.79999999999995</v>
      </c>
      <c r="O698">
        <v>2023</v>
      </c>
      <c r="P698" s="3" t="s">
        <v>4298</v>
      </c>
      <c r="Q698">
        <v>3</v>
      </c>
      <c r="R698" t="str">
        <f>IF(Table1_2[[#This Row],[Total Price]]&gt;3330.41,"OUTLIER","NORMAL")</f>
        <v>NORMAL</v>
      </c>
      <c r="S698" s="5">
        <v>0</v>
      </c>
    </row>
    <row r="699" spans="1:19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 s="6">
        <v>474.25</v>
      </c>
      <c r="O699">
        <v>2025</v>
      </c>
      <c r="P699" s="3" t="s">
        <v>4289</v>
      </c>
      <c r="Q699">
        <v>1</v>
      </c>
      <c r="R699" t="str">
        <f>IF(Table1_2[[#This Row],[Total Price]]&gt;3330.41,"OUTLIER","NORMAL")</f>
        <v>NORMAL</v>
      </c>
      <c r="S699" s="5">
        <v>0</v>
      </c>
    </row>
    <row r="700" spans="1:19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 s="6">
        <v>776.44</v>
      </c>
      <c r="O700">
        <v>2023</v>
      </c>
      <c r="P700" s="3" t="s">
        <v>4287</v>
      </c>
      <c r="Q700">
        <v>1</v>
      </c>
      <c r="R700" t="str">
        <f>IF(Table1_2[[#This Row],[Total Price]]&gt;3330.41,"OUTLIER","NORMAL")</f>
        <v>NORMAL</v>
      </c>
      <c r="S700" s="5">
        <v>0</v>
      </c>
    </row>
    <row r="701" spans="1:19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4293</v>
      </c>
      <c r="M701" s="3" t="s">
        <v>4281</v>
      </c>
      <c r="N701" s="6">
        <v>1842.45</v>
      </c>
      <c r="O701">
        <v>2023</v>
      </c>
      <c r="P701" s="3" t="s">
        <v>4295</v>
      </c>
      <c r="Q701">
        <v>4</v>
      </c>
      <c r="R701" t="str">
        <f>IF(Table1_2[[#This Row],[Total Price]]&gt;3330.41,"OUTLIER","NORMAL")</f>
        <v>NORMAL</v>
      </c>
      <c r="S701" s="5">
        <v>0</v>
      </c>
    </row>
    <row r="702" spans="1:19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 s="6">
        <v>185.82</v>
      </c>
      <c r="O702">
        <v>2024</v>
      </c>
      <c r="P702" s="3" t="s">
        <v>4299</v>
      </c>
      <c r="Q702">
        <v>3</v>
      </c>
      <c r="R702" t="str">
        <f>IF(Table1_2[[#This Row],[Total Price]]&gt;3330.41,"OUTLIER","NORMAL")</f>
        <v>NORMAL</v>
      </c>
      <c r="S702" s="5">
        <v>0</v>
      </c>
    </row>
    <row r="703" spans="1:19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 s="6">
        <v>276.66000000000003</v>
      </c>
      <c r="O703">
        <v>2024</v>
      </c>
      <c r="P703" s="3" t="s">
        <v>4292</v>
      </c>
      <c r="Q703">
        <v>2</v>
      </c>
      <c r="R703" t="str">
        <f>IF(Table1_2[[#This Row],[Total Price]]&gt;3330.41,"OUTLIER","NORMAL")</f>
        <v>NORMAL</v>
      </c>
      <c r="S703" s="5">
        <v>0</v>
      </c>
    </row>
    <row r="704" spans="1:19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4293</v>
      </c>
      <c r="M704" s="3" t="s">
        <v>4280</v>
      </c>
      <c r="N704" s="6">
        <v>1687.65</v>
      </c>
      <c r="O704">
        <v>2024</v>
      </c>
      <c r="P704" s="3" t="s">
        <v>4292</v>
      </c>
      <c r="Q704">
        <v>2</v>
      </c>
      <c r="R704" t="str">
        <f>IF(Table1_2[[#This Row],[Total Price]]&gt;3330.41,"OUTLIER","NORMAL")</f>
        <v>NORMAL</v>
      </c>
      <c r="S704" s="5">
        <v>0</v>
      </c>
    </row>
    <row r="705" spans="1:19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 s="6">
        <v>92.79</v>
      </c>
      <c r="O705">
        <v>2023</v>
      </c>
      <c r="P705" s="3" t="s">
        <v>4297</v>
      </c>
      <c r="Q705">
        <v>1</v>
      </c>
      <c r="R705" t="str">
        <f>IF(Table1_2[[#This Row],[Total Price]]&gt;3330.41,"OUTLIER","NORMAL")</f>
        <v>NORMAL</v>
      </c>
      <c r="S705" s="5">
        <v>0</v>
      </c>
    </row>
    <row r="706" spans="1:19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 s="6">
        <v>121.08</v>
      </c>
      <c r="O706">
        <v>2023</v>
      </c>
      <c r="P706" s="3" t="s">
        <v>4292</v>
      </c>
      <c r="Q706">
        <v>2</v>
      </c>
      <c r="R706" t="str">
        <f>IF(Table1_2[[#This Row],[Total Price]]&gt;3330.41,"OUTLIER","NORMAL")</f>
        <v>NORMAL</v>
      </c>
      <c r="S706" s="5">
        <v>0</v>
      </c>
    </row>
    <row r="707" spans="1:19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 s="6">
        <v>98.16</v>
      </c>
      <c r="O707">
        <v>2025</v>
      </c>
      <c r="P707" s="3" t="s">
        <v>4297</v>
      </c>
      <c r="Q707">
        <v>1</v>
      </c>
      <c r="R707" t="str">
        <f>IF(Table1_2[[#This Row],[Total Price]]&gt;3330.41,"OUTLIER","NORMAL")</f>
        <v>NORMAL</v>
      </c>
      <c r="S707" s="5">
        <v>0</v>
      </c>
    </row>
    <row r="708" spans="1:19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 s="6">
        <v>1140.45</v>
      </c>
      <c r="O708">
        <v>2025</v>
      </c>
      <c r="P708" s="3" t="s">
        <v>4297</v>
      </c>
      <c r="Q708">
        <v>1</v>
      </c>
      <c r="R708" t="str">
        <f>IF(Table1_2[[#This Row],[Total Price]]&gt;3330.41,"OUTLIER","NORMAL")</f>
        <v>NORMAL</v>
      </c>
      <c r="S708" s="5">
        <v>0</v>
      </c>
    </row>
    <row r="709" spans="1:19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 s="6">
        <v>2600.16</v>
      </c>
      <c r="O709">
        <v>2024</v>
      </c>
      <c r="P709" s="3" t="s">
        <v>4295</v>
      </c>
      <c r="Q709">
        <v>4</v>
      </c>
      <c r="R709" t="str">
        <f>IF(Table1_2[[#This Row],[Total Price]]&gt;3330.41,"OUTLIER","NORMAL")</f>
        <v>NORMAL</v>
      </c>
      <c r="S709" s="5">
        <v>0</v>
      </c>
    </row>
    <row r="710" spans="1:19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 s="6">
        <v>665.11</v>
      </c>
      <c r="O710">
        <v>2025</v>
      </c>
      <c r="P710" s="3" t="s">
        <v>4297</v>
      </c>
      <c r="Q710">
        <v>1</v>
      </c>
      <c r="R710" t="str">
        <f>IF(Table1_2[[#This Row],[Total Price]]&gt;3330.41,"OUTLIER","NORMAL")</f>
        <v>NORMAL</v>
      </c>
      <c r="S710" s="5">
        <v>0</v>
      </c>
    </row>
    <row r="711" spans="1:19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 s="6">
        <v>386.03</v>
      </c>
      <c r="O711">
        <v>2024</v>
      </c>
      <c r="P711" s="3" t="s">
        <v>4296</v>
      </c>
      <c r="Q711">
        <v>4</v>
      </c>
      <c r="R711" t="str">
        <f>IF(Table1_2[[#This Row],[Total Price]]&gt;3330.41,"OUTLIER","NORMAL")</f>
        <v>NORMAL</v>
      </c>
      <c r="S711" s="5">
        <v>0</v>
      </c>
    </row>
    <row r="712" spans="1:19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4293</v>
      </c>
      <c r="M712" s="3" t="s">
        <v>4282</v>
      </c>
      <c r="N712" s="6">
        <v>107.7</v>
      </c>
      <c r="O712">
        <v>2024</v>
      </c>
      <c r="P712" s="3" t="s">
        <v>4298</v>
      </c>
      <c r="Q712">
        <v>3</v>
      </c>
      <c r="R712" t="str">
        <f>IF(Table1_2[[#This Row],[Total Price]]&gt;3330.41,"OUTLIER","NORMAL")</f>
        <v>NORMAL</v>
      </c>
      <c r="S712" s="5">
        <v>0</v>
      </c>
    </row>
    <row r="713" spans="1:19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 s="6">
        <v>951.56</v>
      </c>
      <c r="O713">
        <v>2024</v>
      </c>
      <c r="P713" s="3" t="s">
        <v>4298</v>
      </c>
      <c r="Q713">
        <v>3</v>
      </c>
      <c r="R713" t="str">
        <f>IF(Table1_2[[#This Row],[Total Price]]&gt;3330.41,"OUTLIER","NORMAL")</f>
        <v>NORMAL</v>
      </c>
      <c r="S713" s="5">
        <v>0</v>
      </c>
    </row>
    <row r="714" spans="1:19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 s="6">
        <v>136.80000000000001</v>
      </c>
      <c r="O714">
        <v>2024</v>
      </c>
      <c r="P714" s="3" t="s">
        <v>4287</v>
      </c>
      <c r="Q714">
        <v>1</v>
      </c>
      <c r="R714" t="str">
        <f>IF(Table1_2[[#This Row],[Total Price]]&gt;3330.41,"OUTLIER","NORMAL")</f>
        <v>NORMAL</v>
      </c>
      <c r="S714" s="5">
        <v>0</v>
      </c>
    </row>
    <row r="715" spans="1:19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 s="6">
        <v>2129.96</v>
      </c>
      <c r="O715">
        <v>2025</v>
      </c>
      <c r="P715" s="3" t="s">
        <v>4292</v>
      </c>
      <c r="Q715">
        <v>2</v>
      </c>
      <c r="R715" t="str">
        <f>IF(Table1_2[[#This Row],[Total Price]]&gt;3330.41,"OUTLIER","NORMAL")</f>
        <v>NORMAL</v>
      </c>
      <c r="S715" s="5">
        <v>0</v>
      </c>
    </row>
    <row r="716" spans="1:19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 s="6">
        <v>51.73</v>
      </c>
      <c r="O716">
        <v>2023</v>
      </c>
      <c r="P716" s="3" t="s">
        <v>4294</v>
      </c>
      <c r="Q716">
        <v>2</v>
      </c>
      <c r="R716" t="str">
        <f>IF(Table1_2[[#This Row],[Total Price]]&gt;3330.41,"OUTLIER","NORMAL")</f>
        <v>NORMAL</v>
      </c>
      <c r="S716" s="5">
        <v>0</v>
      </c>
    </row>
    <row r="717" spans="1:19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 s="6">
        <v>1960.89</v>
      </c>
      <c r="O717">
        <v>2024</v>
      </c>
      <c r="P717" s="3" t="s">
        <v>4298</v>
      </c>
      <c r="Q717">
        <v>3</v>
      </c>
      <c r="R717" t="str">
        <f>IF(Table1_2[[#This Row],[Total Price]]&gt;3330.41,"OUTLIER","NORMAL")</f>
        <v>NORMAL</v>
      </c>
      <c r="S717" s="5">
        <v>0</v>
      </c>
    </row>
    <row r="718" spans="1:19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 s="6">
        <v>1362.87</v>
      </c>
      <c r="O718">
        <v>2024</v>
      </c>
      <c r="P718" s="3" t="s">
        <v>4292</v>
      </c>
      <c r="Q718">
        <v>2</v>
      </c>
      <c r="R718" t="str">
        <f>IF(Table1_2[[#This Row],[Total Price]]&gt;3330.41,"OUTLIER","NORMAL")</f>
        <v>NORMAL</v>
      </c>
      <c r="S718" s="5">
        <v>0</v>
      </c>
    </row>
    <row r="719" spans="1:19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 s="6">
        <v>366.33</v>
      </c>
      <c r="O719">
        <v>2023</v>
      </c>
      <c r="P719" s="3" t="s">
        <v>4290</v>
      </c>
      <c r="Q719">
        <v>4</v>
      </c>
      <c r="R719" t="str">
        <f>IF(Table1_2[[#This Row],[Total Price]]&gt;3330.41,"OUTLIER","NORMAL")</f>
        <v>NORMAL</v>
      </c>
      <c r="S719" s="5">
        <v>0</v>
      </c>
    </row>
    <row r="720" spans="1:19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 s="6">
        <v>258.95999999999998</v>
      </c>
      <c r="O720">
        <v>2023</v>
      </c>
      <c r="P720" s="3" t="s">
        <v>4294</v>
      </c>
      <c r="Q720">
        <v>2</v>
      </c>
      <c r="R720" t="str">
        <f>IF(Table1_2[[#This Row],[Total Price]]&gt;3330.41,"OUTLIER","NORMAL")</f>
        <v>NORMAL</v>
      </c>
      <c r="S720" s="5">
        <v>0</v>
      </c>
    </row>
    <row r="721" spans="1:19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 s="6">
        <v>1362.12</v>
      </c>
      <c r="O721">
        <v>2024</v>
      </c>
      <c r="P721" s="3" t="s">
        <v>4287</v>
      </c>
      <c r="Q721">
        <v>1</v>
      </c>
      <c r="R721" t="str">
        <f>IF(Table1_2[[#This Row],[Total Price]]&gt;3330.41,"OUTLIER","NORMAL")</f>
        <v>NORMAL</v>
      </c>
      <c r="S721" s="5">
        <v>0</v>
      </c>
    </row>
    <row r="722" spans="1:19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 s="6">
        <v>644.75</v>
      </c>
      <c r="O722">
        <v>2023</v>
      </c>
      <c r="P722" s="3" t="s">
        <v>4299</v>
      </c>
      <c r="Q722">
        <v>3</v>
      </c>
      <c r="R722" t="str">
        <f>IF(Table1_2[[#This Row],[Total Price]]&gt;3330.41,"OUTLIER","NORMAL")</f>
        <v>NORMAL</v>
      </c>
      <c r="S722" s="5">
        <v>0</v>
      </c>
    </row>
    <row r="723" spans="1:19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4293</v>
      </c>
      <c r="M723" s="3" t="s">
        <v>4280</v>
      </c>
      <c r="N723" s="6">
        <v>237.18</v>
      </c>
      <c r="O723">
        <v>2024</v>
      </c>
      <c r="P723" s="3" t="s">
        <v>4297</v>
      </c>
      <c r="Q723">
        <v>1</v>
      </c>
      <c r="R723" t="str">
        <f>IF(Table1_2[[#This Row],[Total Price]]&gt;3330.41,"OUTLIER","NORMAL")</f>
        <v>NORMAL</v>
      </c>
      <c r="S723" s="5">
        <v>0</v>
      </c>
    </row>
    <row r="724" spans="1:19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 s="6">
        <v>95.1</v>
      </c>
      <c r="O724">
        <v>2024</v>
      </c>
      <c r="P724" s="3" t="s">
        <v>4295</v>
      </c>
      <c r="Q724">
        <v>4</v>
      </c>
      <c r="R724" t="str">
        <f>IF(Table1_2[[#This Row],[Total Price]]&gt;3330.41,"OUTLIER","NORMAL")</f>
        <v>NORMAL</v>
      </c>
      <c r="S724" s="5">
        <v>0</v>
      </c>
    </row>
    <row r="725" spans="1:19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 s="6">
        <v>164.85</v>
      </c>
      <c r="O725">
        <v>2023</v>
      </c>
      <c r="P725" s="3" t="s">
        <v>4296</v>
      </c>
      <c r="Q725">
        <v>4</v>
      </c>
      <c r="R725" t="str">
        <f>IF(Table1_2[[#This Row],[Total Price]]&gt;3330.41,"OUTLIER","NORMAL")</f>
        <v>NORMAL</v>
      </c>
      <c r="S725" s="5">
        <v>0</v>
      </c>
    </row>
    <row r="726" spans="1:19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 s="6">
        <v>410.91</v>
      </c>
      <c r="O726">
        <v>2024</v>
      </c>
      <c r="P726" s="3" t="s">
        <v>4290</v>
      </c>
      <c r="Q726">
        <v>4</v>
      </c>
      <c r="R726" t="str">
        <f>IF(Table1_2[[#This Row],[Total Price]]&gt;3330.41,"OUTLIER","NORMAL")</f>
        <v>NORMAL</v>
      </c>
      <c r="S726" s="5">
        <v>0</v>
      </c>
    </row>
    <row r="727" spans="1:19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4293</v>
      </c>
      <c r="M727" s="3" t="s">
        <v>4279</v>
      </c>
      <c r="N727" s="6">
        <v>389.7</v>
      </c>
      <c r="O727">
        <v>2023</v>
      </c>
      <c r="P727" s="3" t="s">
        <v>4297</v>
      </c>
      <c r="Q727">
        <v>1</v>
      </c>
      <c r="R727" t="str">
        <f>IF(Table1_2[[#This Row],[Total Price]]&gt;3330.41,"OUTLIER","NORMAL")</f>
        <v>NORMAL</v>
      </c>
      <c r="S727" s="5">
        <v>0</v>
      </c>
    </row>
    <row r="728" spans="1:19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 s="6">
        <v>2332.08</v>
      </c>
      <c r="O728">
        <v>2024</v>
      </c>
      <c r="P728" s="3" t="s">
        <v>4290</v>
      </c>
      <c r="Q728">
        <v>4</v>
      </c>
      <c r="R728" t="str">
        <f>IF(Table1_2[[#This Row],[Total Price]]&gt;3330.41,"OUTLIER","NORMAL")</f>
        <v>NORMAL</v>
      </c>
      <c r="S728" s="5">
        <v>0</v>
      </c>
    </row>
    <row r="729" spans="1:19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 s="6">
        <v>478.75</v>
      </c>
      <c r="O729">
        <v>2024</v>
      </c>
      <c r="P729" s="3" t="s">
        <v>4299</v>
      </c>
      <c r="Q729">
        <v>3</v>
      </c>
      <c r="R729" t="str">
        <f>IF(Table1_2[[#This Row],[Total Price]]&gt;3330.41,"OUTLIER","NORMAL")</f>
        <v>NORMAL</v>
      </c>
      <c r="S729" s="5">
        <v>0</v>
      </c>
    </row>
    <row r="730" spans="1:19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 s="6">
        <v>1303.04</v>
      </c>
      <c r="O730">
        <v>2024</v>
      </c>
      <c r="P730" s="3" t="s">
        <v>4298</v>
      </c>
      <c r="Q730">
        <v>3</v>
      </c>
      <c r="R730" t="str">
        <f>IF(Table1_2[[#This Row],[Total Price]]&gt;3330.41,"OUTLIER","NORMAL")</f>
        <v>NORMAL</v>
      </c>
      <c r="S730" s="5">
        <v>0</v>
      </c>
    </row>
    <row r="731" spans="1:19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 s="6">
        <v>745.64</v>
      </c>
      <c r="O731">
        <v>2023</v>
      </c>
      <c r="P731" s="3" t="s">
        <v>4299</v>
      </c>
      <c r="Q731">
        <v>3</v>
      </c>
      <c r="R731" t="str">
        <f>IF(Table1_2[[#This Row],[Total Price]]&gt;3330.41,"OUTLIER","NORMAL")</f>
        <v>NORMAL</v>
      </c>
      <c r="S731" s="5">
        <v>0</v>
      </c>
    </row>
    <row r="732" spans="1:19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 s="6">
        <v>474.6</v>
      </c>
      <c r="O732">
        <v>2025</v>
      </c>
      <c r="P732" s="3" t="s">
        <v>4289</v>
      </c>
      <c r="Q732">
        <v>1</v>
      </c>
      <c r="R732" t="str">
        <f>IF(Table1_2[[#This Row],[Total Price]]&gt;3330.41,"OUTLIER","NORMAL")</f>
        <v>NORMAL</v>
      </c>
      <c r="S732" s="5">
        <v>0</v>
      </c>
    </row>
    <row r="733" spans="1:19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4293</v>
      </c>
      <c r="M733" s="3" t="s">
        <v>4280</v>
      </c>
      <c r="N733" s="6">
        <v>2922.3</v>
      </c>
      <c r="O733">
        <v>2024</v>
      </c>
      <c r="P733" s="3" t="s">
        <v>4292</v>
      </c>
      <c r="Q733">
        <v>2</v>
      </c>
      <c r="R733" t="str">
        <f>IF(Table1_2[[#This Row],[Total Price]]&gt;3330.41,"OUTLIER","NORMAL")</f>
        <v>NORMAL</v>
      </c>
      <c r="S733" s="5">
        <v>0</v>
      </c>
    </row>
    <row r="734" spans="1:19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4293</v>
      </c>
      <c r="M734" s="3" t="s">
        <v>4282</v>
      </c>
      <c r="N734" s="6">
        <v>132.05000000000001</v>
      </c>
      <c r="O734">
        <v>2025</v>
      </c>
      <c r="P734" s="3" t="s">
        <v>4297</v>
      </c>
      <c r="Q734">
        <v>1</v>
      </c>
      <c r="R734" t="str">
        <f>IF(Table1_2[[#This Row],[Total Price]]&gt;3330.41,"OUTLIER","NORMAL")</f>
        <v>NORMAL</v>
      </c>
      <c r="S734" s="5">
        <v>0</v>
      </c>
    </row>
    <row r="735" spans="1:19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 s="6">
        <v>1979.36</v>
      </c>
      <c r="O735">
        <v>2023</v>
      </c>
      <c r="P735" s="3" t="s">
        <v>4296</v>
      </c>
      <c r="Q735">
        <v>4</v>
      </c>
      <c r="R735" t="str">
        <f>IF(Table1_2[[#This Row],[Total Price]]&gt;3330.41,"OUTLIER","NORMAL")</f>
        <v>NORMAL</v>
      </c>
      <c r="S735" s="5">
        <v>0</v>
      </c>
    </row>
    <row r="736" spans="1:19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 s="6">
        <v>898.44</v>
      </c>
      <c r="O736">
        <v>2024</v>
      </c>
      <c r="P736" s="3" t="s">
        <v>4287</v>
      </c>
      <c r="Q736">
        <v>1</v>
      </c>
      <c r="R736" t="str">
        <f>IF(Table1_2[[#This Row],[Total Price]]&gt;3330.41,"OUTLIER","NORMAL")</f>
        <v>NORMAL</v>
      </c>
      <c r="S736" s="5">
        <v>0</v>
      </c>
    </row>
    <row r="737" spans="1:19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4293</v>
      </c>
      <c r="M737" s="3" t="s">
        <v>4280</v>
      </c>
      <c r="N737" s="6">
        <v>176.28</v>
      </c>
      <c r="O737">
        <v>2024</v>
      </c>
      <c r="P737" s="3" t="s">
        <v>4292</v>
      </c>
      <c r="Q737">
        <v>2</v>
      </c>
      <c r="R737" t="str">
        <f>IF(Table1_2[[#This Row],[Total Price]]&gt;3330.41,"OUTLIER","NORMAL")</f>
        <v>NORMAL</v>
      </c>
      <c r="S737" s="5">
        <v>0</v>
      </c>
    </row>
    <row r="738" spans="1:19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 s="6">
        <v>2092.65</v>
      </c>
      <c r="O738">
        <v>2024</v>
      </c>
      <c r="P738" s="3" t="s">
        <v>4289</v>
      </c>
      <c r="Q738">
        <v>1</v>
      </c>
      <c r="R738" t="str">
        <f>IF(Table1_2[[#This Row],[Total Price]]&gt;3330.41,"OUTLIER","NORMAL")</f>
        <v>NORMAL</v>
      </c>
      <c r="S738" s="5">
        <v>0</v>
      </c>
    </row>
    <row r="739" spans="1:19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 s="6">
        <v>2131.48</v>
      </c>
      <c r="O739">
        <v>2024</v>
      </c>
      <c r="P739" s="3" t="s">
        <v>4287</v>
      </c>
      <c r="Q739">
        <v>1</v>
      </c>
      <c r="R739" t="str">
        <f>IF(Table1_2[[#This Row],[Total Price]]&gt;3330.41,"OUTLIER","NORMAL")</f>
        <v>NORMAL</v>
      </c>
      <c r="S739" s="5">
        <v>0</v>
      </c>
    </row>
    <row r="740" spans="1:19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 s="6">
        <v>970.74</v>
      </c>
      <c r="O740">
        <v>2025</v>
      </c>
      <c r="P740" s="3" t="s">
        <v>4292</v>
      </c>
      <c r="Q740">
        <v>2</v>
      </c>
      <c r="R740" t="str">
        <f>IF(Table1_2[[#This Row],[Total Price]]&gt;3330.41,"OUTLIER","NORMAL")</f>
        <v>NORMAL</v>
      </c>
      <c r="S740" s="5">
        <v>0</v>
      </c>
    </row>
    <row r="741" spans="1:19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 s="6">
        <v>1546.92</v>
      </c>
      <c r="O741">
        <v>2024</v>
      </c>
      <c r="P741" s="3" t="s">
        <v>4292</v>
      </c>
      <c r="Q741">
        <v>2</v>
      </c>
      <c r="R741" t="str">
        <f>IF(Table1_2[[#This Row],[Total Price]]&gt;3330.41,"OUTLIER","NORMAL")</f>
        <v>NORMAL</v>
      </c>
      <c r="S741" s="5">
        <v>0</v>
      </c>
    </row>
    <row r="742" spans="1:19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4293</v>
      </c>
      <c r="M742" s="3" t="s">
        <v>4282</v>
      </c>
      <c r="N742" s="6">
        <v>754.94</v>
      </c>
      <c r="O742">
        <v>2024</v>
      </c>
      <c r="P742" s="3" t="s">
        <v>4298</v>
      </c>
      <c r="Q742">
        <v>3</v>
      </c>
      <c r="R742" t="str">
        <f>IF(Table1_2[[#This Row],[Total Price]]&gt;3330.41,"OUTLIER","NORMAL")</f>
        <v>NORMAL</v>
      </c>
      <c r="S742" s="5">
        <v>0</v>
      </c>
    </row>
    <row r="743" spans="1:19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4293</v>
      </c>
      <c r="M743" s="3" t="s">
        <v>4279</v>
      </c>
      <c r="N743" s="6">
        <v>1663.2</v>
      </c>
      <c r="O743">
        <v>2025</v>
      </c>
      <c r="P743" s="3" t="s">
        <v>4287</v>
      </c>
      <c r="Q743">
        <v>1</v>
      </c>
      <c r="R743" t="str">
        <f>IF(Table1_2[[#This Row],[Total Price]]&gt;3330.41,"OUTLIER","NORMAL")</f>
        <v>NORMAL</v>
      </c>
      <c r="S743" s="5">
        <v>0</v>
      </c>
    </row>
    <row r="744" spans="1:19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 s="6">
        <v>2099.79</v>
      </c>
      <c r="O744">
        <v>2024</v>
      </c>
      <c r="P744" s="3" t="s">
        <v>4295</v>
      </c>
      <c r="Q744">
        <v>4</v>
      </c>
      <c r="R744" t="str">
        <f>IF(Table1_2[[#This Row],[Total Price]]&gt;3330.41,"OUTLIER","NORMAL")</f>
        <v>NORMAL</v>
      </c>
      <c r="S744" s="5">
        <v>0</v>
      </c>
    </row>
    <row r="745" spans="1:19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 s="6">
        <v>576.35</v>
      </c>
      <c r="O745">
        <v>2024</v>
      </c>
      <c r="P745" s="3" t="s">
        <v>4299</v>
      </c>
      <c r="Q745">
        <v>3</v>
      </c>
      <c r="R745" t="str">
        <f>IF(Table1_2[[#This Row],[Total Price]]&gt;3330.41,"OUTLIER","NORMAL")</f>
        <v>NORMAL</v>
      </c>
      <c r="S745" s="5">
        <v>0</v>
      </c>
    </row>
    <row r="746" spans="1:19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 s="6">
        <v>922.74</v>
      </c>
      <c r="O746">
        <v>2024</v>
      </c>
      <c r="P746" s="3" t="s">
        <v>4292</v>
      </c>
      <c r="Q746">
        <v>2</v>
      </c>
      <c r="R746" t="str">
        <f>IF(Table1_2[[#This Row],[Total Price]]&gt;3330.41,"OUTLIER","NORMAL")</f>
        <v>NORMAL</v>
      </c>
      <c r="S746" s="5">
        <v>0</v>
      </c>
    </row>
    <row r="747" spans="1:19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 s="6">
        <v>445.2</v>
      </c>
      <c r="O747">
        <v>2023</v>
      </c>
      <c r="P747" s="3" t="s">
        <v>4297</v>
      </c>
      <c r="Q747">
        <v>1</v>
      </c>
      <c r="R747" t="str">
        <f>IF(Table1_2[[#This Row],[Total Price]]&gt;3330.41,"OUTLIER","NORMAL")</f>
        <v>NORMAL</v>
      </c>
      <c r="S747" s="5">
        <v>0</v>
      </c>
    </row>
    <row r="748" spans="1:19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 s="6">
        <v>1985.67</v>
      </c>
      <c r="O748">
        <v>2025</v>
      </c>
      <c r="P748" s="3" t="s">
        <v>4289</v>
      </c>
      <c r="Q748">
        <v>1</v>
      </c>
      <c r="R748" t="str">
        <f>IF(Table1_2[[#This Row],[Total Price]]&gt;3330.41,"OUTLIER","NORMAL")</f>
        <v>NORMAL</v>
      </c>
      <c r="S748" s="5">
        <v>0</v>
      </c>
    </row>
    <row r="749" spans="1:19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 s="6">
        <v>519.16</v>
      </c>
      <c r="O749">
        <v>2025</v>
      </c>
      <c r="P749" s="3" t="s">
        <v>4297</v>
      </c>
      <c r="Q749">
        <v>1</v>
      </c>
      <c r="R749" t="str">
        <f>IF(Table1_2[[#This Row],[Total Price]]&gt;3330.41,"OUTLIER","NORMAL")</f>
        <v>NORMAL</v>
      </c>
      <c r="S749" s="5">
        <v>0</v>
      </c>
    </row>
    <row r="750" spans="1:19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 s="6">
        <v>212.43</v>
      </c>
      <c r="O750">
        <v>2024</v>
      </c>
      <c r="P750" s="3" t="s">
        <v>4298</v>
      </c>
      <c r="Q750">
        <v>3</v>
      </c>
      <c r="R750" t="str">
        <f>IF(Table1_2[[#This Row],[Total Price]]&gt;3330.41,"OUTLIER","NORMAL")</f>
        <v>NORMAL</v>
      </c>
      <c r="S750" s="5">
        <v>0</v>
      </c>
    </row>
    <row r="751" spans="1:19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 s="6">
        <v>518.39</v>
      </c>
      <c r="O751">
        <v>2025</v>
      </c>
      <c r="P751" s="3" t="s">
        <v>4294</v>
      </c>
      <c r="Q751">
        <v>2</v>
      </c>
      <c r="R751" t="str">
        <f>IF(Table1_2[[#This Row],[Total Price]]&gt;3330.41,"OUTLIER","NORMAL")</f>
        <v>NORMAL</v>
      </c>
      <c r="S751" s="5">
        <v>0</v>
      </c>
    </row>
    <row r="752" spans="1:19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 s="6">
        <v>581.64</v>
      </c>
      <c r="O752">
        <v>2023</v>
      </c>
      <c r="P752" s="3" t="s">
        <v>4287</v>
      </c>
      <c r="Q752">
        <v>1</v>
      </c>
      <c r="R752" t="str">
        <f>IF(Table1_2[[#This Row],[Total Price]]&gt;3330.41,"OUTLIER","NORMAL")</f>
        <v>NORMAL</v>
      </c>
      <c r="S752" s="5">
        <v>0</v>
      </c>
    </row>
    <row r="753" spans="1:19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 s="6">
        <v>1199.72</v>
      </c>
      <c r="O753">
        <v>2023</v>
      </c>
      <c r="P753" s="3" t="s">
        <v>4287</v>
      </c>
      <c r="Q753">
        <v>1</v>
      </c>
      <c r="R753" t="str">
        <f>IF(Table1_2[[#This Row],[Total Price]]&gt;3330.41,"OUTLIER","NORMAL")</f>
        <v>NORMAL</v>
      </c>
      <c r="S753" s="5">
        <v>0</v>
      </c>
    </row>
    <row r="754" spans="1:19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 s="6">
        <v>1717.48</v>
      </c>
      <c r="O754">
        <v>2024</v>
      </c>
      <c r="P754" s="3" t="s">
        <v>4290</v>
      </c>
      <c r="Q754">
        <v>4</v>
      </c>
      <c r="R754" t="str">
        <f>IF(Table1_2[[#This Row],[Total Price]]&gt;3330.41,"OUTLIER","NORMAL")</f>
        <v>NORMAL</v>
      </c>
      <c r="S754" s="5">
        <v>0</v>
      </c>
    </row>
    <row r="755" spans="1:19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 s="6">
        <v>482.98</v>
      </c>
      <c r="O755">
        <v>2024</v>
      </c>
      <c r="P755" s="3" t="s">
        <v>4294</v>
      </c>
      <c r="Q755">
        <v>2</v>
      </c>
      <c r="R755" t="str">
        <f>IF(Table1_2[[#This Row],[Total Price]]&gt;3330.41,"OUTLIER","NORMAL")</f>
        <v>NORMAL</v>
      </c>
      <c r="S755" s="5">
        <v>0</v>
      </c>
    </row>
    <row r="756" spans="1:19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 s="6">
        <v>904.1</v>
      </c>
      <c r="O756">
        <v>2025</v>
      </c>
      <c r="P756" s="3" t="s">
        <v>4291</v>
      </c>
      <c r="Q756">
        <v>2</v>
      </c>
      <c r="R756" t="str">
        <f>IF(Table1_2[[#This Row],[Total Price]]&gt;3330.41,"OUTLIER","NORMAL")</f>
        <v>NORMAL</v>
      </c>
      <c r="S756" s="5">
        <v>0</v>
      </c>
    </row>
    <row r="757" spans="1:19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4293</v>
      </c>
      <c r="M757" s="3" t="s">
        <v>4280</v>
      </c>
      <c r="N757" s="6">
        <v>1010.13</v>
      </c>
      <c r="O757">
        <v>2023</v>
      </c>
      <c r="P757" s="3" t="s">
        <v>4292</v>
      </c>
      <c r="Q757">
        <v>2</v>
      </c>
      <c r="R757" t="str">
        <f>IF(Table1_2[[#This Row],[Total Price]]&gt;3330.41,"OUTLIER","NORMAL")</f>
        <v>NORMAL</v>
      </c>
      <c r="S757" s="5">
        <v>0</v>
      </c>
    </row>
    <row r="758" spans="1:19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4293</v>
      </c>
      <c r="M758" s="3" t="s">
        <v>4282</v>
      </c>
      <c r="N758" s="6">
        <v>283.69</v>
      </c>
      <c r="O758">
        <v>2024</v>
      </c>
      <c r="P758" s="3" t="s">
        <v>4292</v>
      </c>
      <c r="Q758">
        <v>2</v>
      </c>
      <c r="R758" t="str">
        <f>IF(Table1_2[[#This Row],[Total Price]]&gt;3330.41,"OUTLIER","NORMAL")</f>
        <v>NORMAL</v>
      </c>
      <c r="S758" s="5">
        <v>0</v>
      </c>
    </row>
    <row r="759" spans="1:19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 s="6">
        <v>157.72</v>
      </c>
      <c r="O759">
        <v>2024</v>
      </c>
      <c r="P759" s="3" t="s">
        <v>4289</v>
      </c>
      <c r="Q759">
        <v>1</v>
      </c>
      <c r="R759" t="str">
        <f>IF(Table1_2[[#This Row],[Total Price]]&gt;3330.41,"OUTLIER","NORMAL")</f>
        <v>NORMAL</v>
      </c>
      <c r="S759" s="5">
        <v>0</v>
      </c>
    </row>
    <row r="760" spans="1:19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 s="6">
        <v>1874.52</v>
      </c>
      <c r="O760">
        <v>2023</v>
      </c>
      <c r="P760" s="3" t="s">
        <v>4297</v>
      </c>
      <c r="Q760">
        <v>1</v>
      </c>
      <c r="R760" t="str">
        <f>IF(Table1_2[[#This Row],[Total Price]]&gt;3330.41,"OUTLIER","NORMAL")</f>
        <v>NORMAL</v>
      </c>
      <c r="S760" s="5">
        <v>0</v>
      </c>
    </row>
    <row r="761" spans="1:19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 s="6">
        <v>924.03</v>
      </c>
      <c r="O761">
        <v>2023</v>
      </c>
      <c r="P761" s="3" t="s">
        <v>4298</v>
      </c>
      <c r="Q761">
        <v>3</v>
      </c>
      <c r="R761" t="str">
        <f>IF(Table1_2[[#This Row],[Total Price]]&gt;3330.41,"OUTLIER","NORMAL")</f>
        <v>NORMAL</v>
      </c>
      <c r="S761" s="5">
        <v>0</v>
      </c>
    </row>
    <row r="762" spans="1:19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4293</v>
      </c>
      <c r="M762" s="3" t="s">
        <v>4282</v>
      </c>
      <c r="N762" s="6">
        <v>39.56</v>
      </c>
      <c r="O762">
        <v>2025</v>
      </c>
      <c r="P762" s="3" t="s">
        <v>4289</v>
      </c>
      <c r="Q762">
        <v>1</v>
      </c>
      <c r="R762" t="str">
        <f>IF(Table1_2[[#This Row],[Total Price]]&gt;3330.41,"OUTLIER","NORMAL")</f>
        <v>NORMAL</v>
      </c>
      <c r="S762" s="5">
        <v>0</v>
      </c>
    </row>
    <row r="763" spans="1:19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4293</v>
      </c>
      <c r="M763" s="3" t="s">
        <v>4282</v>
      </c>
      <c r="N763" s="6">
        <v>151.04</v>
      </c>
      <c r="O763">
        <v>2023</v>
      </c>
      <c r="P763" s="3" t="s">
        <v>4292</v>
      </c>
      <c r="Q763">
        <v>2</v>
      </c>
      <c r="R763" t="str">
        <f>IF(Table1_2[[#This Row],[Total Price]]&gt;3330.41,"OUTLIER","NORMAL")</f>
        <v>NORMAL</v>
      </c>
      <c r="S763" s="5">
        <v>0</v>
      </c>
    </row>
    <row r="764" spans="1:19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 s="6">
        <v>230.88</v>
      </c>
      <c r="O764">
        <v>2024</v>
      </c>
      <c r="P764" s="3" t="s">
        <v>4299</v>
      </c>
      <c r="Q764">
        <v>3</v>
      </c>
      <c r="R764" t="str">
        <f>IF(Table1_2[[#This Row],[Total Price]]&gt;3330.41,"OUTLIER","NORMAL")</f>
        <v>NORMAL</v>
      </c>
      <c r="S764" s="5">
        <v>0</v>
      </c>
    </row>
    <row r="765" spans="1:19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 s="6">
        <v>569.96</v>
      </c>
      <c r="O765">
        <v>2023</v>
      </c>
      <c r="P765" s="3" t="s">
        <v>4294</v>
      </c>
      <c r="Q765">
        <v>2</v>
      </c>
      <c r="R765" t="str">
        <f>IF(Table1_2[[#This Row],[Total Price]]&gt;3330.41,"OUTLIER","NORMAL")</f>
        <v>NORMAL</v>
      </c>
      <c r="S765" s="5">
        <v>0</v>
      </c>
    </row>
    <row r="766" spans="1:19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 s="6">
        <v>3137.15</v>
      </c>
      <c r="O766">
        <v>2024</v>
      </c>
      <c r="P766" s="3" t="s">
        <v>4297</v>
      </c>
      <c r="Q766">
        <v>1</v>
      </c>
      <c r="R766" t="str">
        <f>IF(Table1_2[[#This Row],[Total Price]]&gt;3330.41,"OUTLIER","NORMAL")</f>
        <v>NORMAL</v>
      </c>
      <c r="S766" s="5">
        <v>0</v>
      </c>
    </row>
    <row r="767" spans="1:19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 s="6">
        <v>1069.82</v>
      </c>
      <c r="O767">
        <v>2023</v>
      </c>
      <c r="P767" s="3" t="s">
        <v>4290</v>
      </c>
      <c r="Q767">
        <v>4</v>
      </c>
      <c r="R767" t="str">
        <f>IF(Table1_2[[#This Row],[Total Price]]&gt;3330.41,"OUTLIER","NORMAL")</f>
        <v>NORMAL</v>
      </c>
      <c r="S767" s="5">
        <v>0</v>
      </c>
    </row>
    <row r="768" spans="1:19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 s="6">
        <v>557.76</v>
      </c>
      <c r="O768">
        <v>2023</v>
      </c>
      <c r="P768" s="3" t="s">
        <v>4287</v>
      </c>
      <c r="Q768">
        <v>1</v>
      </c>
      <c r="R768" t="str">
        <f>IF(Table1_2[[#This Row],[Total Price]]&gt;3330.41,"OUTLIER","NORMAL")</f>
        <v>NORMAL</v>
      </c>
      <c r="S768" s="5">
        <v>0</v>
      </c>
    </row>
    <row r="769" spans="1:19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4293</v>
      </c>
      <c r="M769" s="3" t="s">
        <v>4278</v>
      </c>
      <c r="N769" s="6">
        <v>646.44000000000005</v>
      </c>
      <c r="O769">
        <v>2025</v>
      </c>
      <c r="P769" s="3" t="s">
        <v>4294</v>
      </c>
      <c r="Q769">
        <v>2</v>
      </c>
      <c r="R769" t="str">
        <f>IF(Table1_2[[#This Row],[Total Price]]&gt;3330.41,"OUTLIER","NORMAL")</f>
        <v>NORMAL</v>
      </c>
      <c r="S769" s="5">
        <v>0</v>
      </c>
    </row>
    <row r="770" spans="1:19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 s="6">
        <v>3267.3</v>
      </c>
      <c r="O770">
        <v>2023</v>
      </c>
      <c r="P770" s="3" t="s">
        <v>4299</v>
      </c>
      <c r="Q770">
        <v>3</v>
      </c>
      <c r="R770" t="str">
        <f>IF(Table1_2[[#This Row],[Total Price]]&gt;3330.41,"OUTLIER","NORMAL")</f>
        <v>NORMAL</v>
      </c>
      <c r="S770" s="5">
        <v>0</v>
      </c>
    </row>
    <row r="771" spans="1:19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4293</v>
      </c>
      <c r="M771" s="3" t="s">
        <v>4280</v>
      </c>
      <c r="N771" s="6">
        <v>2714.2</v>
      </c>
      <c r="O771">
        <v>2023</v>
      </c>
      <c r="P771" s="3" t="s">
        <v>4298</v>
      </c>
      <c r="Q771">
        <v>3</v>
      </c>
      <c r="R771" t="str">
        <f>IF(Table1_2[[#This Row],[Total Price]]&gt;3330.41,"OUTLIER","NORMAL")</f>
        <v>NORMAL</v>
      </c>
      <c r="S771" s="5">
        <v>0</v>
      </c>
    </row>
    <row r="772" spans="1:19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4293</v>
      </c>
      <c r="M772" s="3" t="s">
        <v>4282</v>
      </c>
      <c r="N772" s="6">
        <v>314.38</v>
      </c>
      <c r="O772">
        <v>2024</v>
      </c>
      <c r="P772" s="3" t="s">
        <v>4289</v>
      </c>
      <c r="Q772">
        <v>1</v>
      </c>
      <c r="R772" t="str">
        <f>IF(Table1_2[[#This Row],[Total Price]]&gt;3330.41,"OUTLIER","NORMAL")</f>
        <v>NORMAL</v>
      </c>
      <c r="S772" s="5">
        <v>0</v>
      </c>
    </row>
    <row r="773" spans="1:19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 s="6">
        <v>2077.3200000000002</v>
      </c>
      <c r="O773">
        <v>2024</v>
      </c>
      <c r="P773" s="3" t="s">
        <v>4292</v>
      </c>
      <c r="Q773">
        <v>2</v>
      </c>
      <c r="R773" t="str">
        <f>IF(Table1_2[[#This Row],[Total Price]]&gt;3330.41,"OUTLIER","NORMAL")</f>
        <v>NORMAL</v>
      </c>
      <c r="S773" s="5">
        <v>0</v>
      </c>
    </row>
    <row r="774" spans="1:19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4293</v>
      </c>
      <c r="M774" s="3" t="s">
        <v>4278</v>
      </c>
      <c r="N774" s="6">
        <v>604.87</v>
      </c>
      <c r="O774">
        <v>2024</v>
      </c>
      <c r="P774" s="3" t="s">
        <v>4298</v>
      </c>
      <c r="Q774">
        <v>3</v>
      </c>
      <c r="R774" t="str">
        <f>IF(Table1_2[[#This Row],[Total Price]]&gt;3330.41,"OUTLIER","NORMAL")</f>
        <v>NORMAL</v>
      </c>
      <c r="S774" s="5">
        <v>0</v>
      </c>
    </row>
    <row r="775" spans="1:19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4293</v>
      </c>
      <c r="M775" s="3" t="s">
        <v>4281</v>
      </c>
      <c r="N775" s="6">
        <v>1024.6600000000001</v>
      </c>
      <c r="O775">
        <v>2025</v>
      </c>
      <c r="P775" s="3" t="s">
        <v>4292</v>
      </c>
      <c r="Q775">
        <v>2</v>
      </c>
      <c r="R775" t="str">
        <f>IF(Table1_2[[#This Row],[Total Price]]&gt;3330.41,"OUTLIER","NORMAL")</f>
        <v>NORMAL</v>
      </c>
      <c r="S775" s="5">
        <v>0</v>
      </c>
    </row>
    <row r="776" spans="1:19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 s="6">
        <v>61.62</v>
      </c>
      <c r="O776">
        <v>2025</v>
      </c>
      <c r="P776" s="3" t="s">
        <v>4294</v>
      </c>
      <c r="Q776">
        <v>2</v>
      </c>
      <c r="R776" t="str">
        <f>IF(Table1_2[[#This Row],[Total Price]]&gt;3330.41,"OUTLIER","NORMAL")</f>
        <v>NORMAL</v>
      </c>
      <c r="S776" s="5">
        <v>0</v>
      </c>
    </row>
    <row r="777" spans="1:19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4293</v>
      </c>
      <c r="M777" s="3" t="s">
        <v>4282</v>
      </c>
      <c r="N777" s="6">
        <v>1250.44</v>
      </c>
      <c r="O777">
        <v>2023</v>
      </c>
      <c r="P777" s="3" t="s">
        <v>4297</v>
      </c>
      <c r="Q777">
        <v>1</v>
      </c>
      <c r="R777" t="str">
        <f>IF(Table1_2[[#This Row],[Total Price]]&gt;3330.41,"OUTLIER","NORMAL")</f>
        <v>NORMAL</v>
      </c>
      <c r="S777" s="5">
        <v>0</v>
      </c>
    </row>
    <row r="778" spans="1:19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 s="6">
        <v>21.19</v>
      </c>
      <c r="O778">
        <v>2023</v>
      </c>
      <c r="P778" s="3" t="s">
        <v>4288</v>
      </c>
      <c r="Q778">
        <v>3</v>
      </c>
      <c r="R778" t="str">
        <f>IF(Table1_2[[#This Row],[Total Price]]&gt;3330.41,"OUTLIER","NORMAL")</f>
        <v>NORMAL</v>
      </c>
      <c r="S778" s="5">
        <v>0</v>
      </c>
    </row>
    <row r="779" spans="1:19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4293</v>
      </c>
      <c r="M779" s="3" t="s">
        <v>4281</v>
      </c>
      <c r="N779" s="6">
        <v>322.45</v>
      </c>
      <c r="O779">
        <v>2025</v>
      </c>
      <c r="P779" s="3" t="s">
        <v>4297</v>
      </c>
      <c r="Q779">
        <v>1</v>
      </c>
      <c r="R779" t="str">
        <f>IF(Table1_2[[#This Row],[Total Price]]&gt;3330.41,"OUTLIER","NORMAL")</f>
        <v>NORMAL</v>
      </c>
      <c r="S779" s="5">
        <v>0</v>
      </c>
    </row>
    <row r="780" spans="1:19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 s="6">
        <v>987.4</v>
      </c>
      <c r="O780">
        <v>2023</v>
      </c>
      <c r="P780" s="3" t="s">
        <v>4294</v>
      </c>
      <c r="Q780">
        <v>2</v>
      </c>
      <c r="R780" t="str">
        <f>IF(Table1_2[[#This Row],[Total Price]]&gt;3330.41,"OUTLIER","NORMAL")</f>
        <v>NORMAL</v>
      </c>
      <c r="S780" s="5">
        <v>0</v>
      </c>
    </row>
    <row r="781" spans="1:19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 s="6">
        <v>1766.22</v>
      </c>
      <c r="O781">
        <v>2023</v>
      </c>
      <c r="P781" s="3" t="s">
        <v>4296</v>
      </c>
      <c r="Q781">
        <v>4</v>
      </c>
      <c r="R781" t="str">
        <f>IF(Table1_2[[#This Row],[Total Price]]&gt;3330.41,"OUTLIER","NORMAL")</f>
        <v>NORMAL</v>
      </c>
      <c r="S781" s="5">
        <v>0</v>
      </c>
    </row>
    <row r="782" spans="1:19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 s="6">
        <v>737.92</v>
      </c>
      <c r="O782">
        <v>2024</v>
      </c>
      <c r="P782" s="3" t="s">
        <v>4297</v>
      </c>
      <c r="Q782">
        <v>1</v>
      </c>
      <c r="R782" t="str">
        <f>IF(Table1_2[[#This Row],[Total Price]]&gt;3330.41,"OUTLIER","NORMAL")</f>
        <v>NORMAL</v>
      </c>
      <c r="S782" s="5">
        <v>0</v>
      </c>
    </row>
    <row r="783" spans="1:19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 s="6">
        <v>2621.3000000000002</v>
      </c>
      <c r="O783">
        <v>2024</v>
      </c>
      <c r="P783" s="3" t="s">
        <v>4287</v>
      </c>
      <c r="Q783">
        <v>1</v>
      </c>
      <c r="R783" t="str">
        <f>IF(Table1_2[[#This Row],[Total Price]]&gt;3330.41,"OUTLIER","NORMAL")</f>
        <v>NORMAL</v>
      </c>
      <c r="S783" s="5">
        <v>0</v>
      </c>
    </row>
    <row r="784" spans="1:19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 s="6">
        <v>987.26</v>
      </c>
      <c r="O784">
        <v>2024</v>
      </c>
      <c r="P784" s="3" t="s">
        <v>4288</v>
      </c>
      <c r="Q784">
        <v>3</v>
      </c>
      <c r="R784" t="str">
        <f>IF(Table1_2[[#This Row],[Total Price]]&gt;3330.41,"OUTLIER","NORMAL")</f>
        <v>NORMAL</v>
      </c>
      <c r="S784" s="5">
        <v>0</v>
      </c>
    </row>
    <row r="785" spans="1:19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 s="6">
        <v>438.34</v>
      </c>
      <c r="O785">
        <v>2025</v>
      </c>
      <c r="P785" s="3" t="s">
        <v>4291</v>
      </c>
      <c r="Q785">
        <v>2</v>
      </c>
      <c r="R785" t="str">
        <f>IF(Table1_2[[#This Row],[Total Price]]&gt;3330.41,"OUTLIER","NORMAL")</f>
        <v>NORMAL</v>
      </c>
      <c r="S785" s="5">
        <v>0</v>
      </c>
    </row>
    <row r="786" spans="1:19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 s="6">
        <v>325.81</v>
      </c>
      <c r="O786">
        <v>2025</v>
      </c>
      <c r="P786" s="3" t="s">
        <v>4291</v>
      </c>
      <c r="Q786">
        <v>2</v>
      </c>
      <c r="R786" t="str">
        <f>IF(Table1_2[[#This Row],[Total Price]]&gt;3330.41,"OUTLIER","NORMAL")</f>
        <v>NORMAL</v>
      </c>
      <c r="S786" s="5">
        <v>0</v>
      </c>
    </row>
    <row r="787" spans="1:19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 s="6">
        <v>176.1</v>
      </c>
      <c r="O787">
        <v>2023</v>
      </c>
      <c r="P787" s="3" t="s">
        <v>4298</v>
      </c>
      <c r="Q787">
        <v>3</v>
      </c>
      <c r="R787" t="str">
        <f>IF(Table1_2[[#This Row],[Total Price]]&gt;3330.41,"OUTLIER","NORMAL")</f>
        <v>NORMAL</v>
      </c>
      <c r="S787" s="5">
        <v>0</v>
      </c>
    </row>
    <row r="788" spans="1:19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4293</v>
      </c>
      <c r="M788" s="3" t="s">
        <v>4279</v>
      </c>
      <c r="N788" s="6">
        <v>226.55</v>
      </c>
      <c r="O788">
        <v>2023</v>
      </c>
      <c r="P788" s="3" t="s">
        <v>4288</v>
      </c>
      <c r="Q788">
        <v>3</v>
      </c>
      <c r="R788" t="str">
        <f>IF(Table1_2[[#This Row],[Total Price]]&gt;3330.41,"OUTLIER","NORMAL")</f>
        <v>NORMAL</v>
      </c>
      <c r="S788" s="5">
        <v>0</v>
      </c>
    </row>
    <row r="789" spans="1:19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4293</v>
      </c>
      <c r="M789" s="3" t="s">
        <v>4282</v>
      </c>
      <c r="N789" s="6">
        <v>887.84</v>
      </c>
      <c r="O789">
        <v>2024</v>
      </c>
      <c r="P789" s="3" t="s">
        <v>4297</v>
      </c>
      <c r="Q789">
        <v>1</v>
      </c>
      <c r="R789" t="str">
        <f>IF(Table1_2[[#This Row],[Total Price]]&gt;3330.41,"OUTLIER","NORMAL")</f>
        <v>NORMAL</v>
      </c>
      <c r="S789" s="5">
        <v>0</v>
      </c>
    </row>
    <row r="790" spans="1:19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 s="6">
        <v>1202.8599999999999</v>
      </c>
      <c r="O790">
        <v>2023</v>
      </c>
      <c r="P790" s="3" t="s">
        <v>4295</v>
      </c>
      <c r="Q790">
        <v>4</v>
      </c>
      <c r="R790" t="str">
        <f>IF(Table1_2[[#This Row],[Total Price]]&gt;3330.41,"OUTLIER","NORMAL")</f>
        <v>NORMAL</v>
      </c>
      <c r="S790" s="5">
        <v>0</v>
      </c>
    </row>
    <row r="791" spans="1:19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 s="6">
        <v>3456.4</v>
      </c>
      <c r="O791">
        <v>2023</v>
      </c>
      <c r="P791" s="3" t="s">
        <v>4288</v>
      </c>
      <c r="Q791">
        <v>3</v>
      </c>
      <c r="R791" t="str">
        <f>IF(Table1_2[[#This Row],[Total Price]]&gt;3330.41,"OUTLIER","NORMAL")</f>
        <v>OUTLIER</v>
      </c>
      <c r="S791" s="5">
        <v>0</v>
      </c>
    </row>
    <row r="792" spans="1:19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4293</v>
      </c>
      <c r="M792" s="3" t="s">
        <v>4282</v>
      </c>
      <c r="N792" s="6">
        <v>1671.56</v>
      </c>
      <c r="O792">
        <v>2024</v>
      </c>
      <c r="P792" s="3" t="s">
        <v>4299</v>
      </c>
      <c r="Q792">
        <v>3</v>
      </c>
      <c r="R792" t="str">
        <f>IF(Table1_2[[#This Row],[Total Price]]&gt;3330.41,"OUTLIER","NORMAL")</f>
        <v>NORMAL</v>
      </c>
      <c r="S792" s="5">
        <v>0</v>
      </c>
    </row>
    <row r="793" spans="1:19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4293</v>
      </c>
      <c r="M793" s="3" t="s">
        <v>4280</v>
      </c>
      <c r="N793" s="6">
        <v>1637.12</v>
      </c>
      <c r="O793">
        <v>2024</v>
      </c>
      <c r="P793" s="3" t="s">
        <v>4287</v>
      </c>
      <c r="Q793">
        <v>1</v>
      </c>
      <c r="R793" t="str">
        <f>IF(Table1_2[[#This Row],[Total Price]]&gt;3330.41,"OUTLIER","NORMAL")</f>
        <v>NORMAL</v>
      </c>
      <c r="S793" s="5">
        <v>0</v>
      </c>
    </row>
    <row r="794" spans="1:19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 s="6">
        <v>712.7</v>
      </c>
      <c r="O794">
        <v>2023</v>
      </c>
      <c r="P794" s="3" t="s">
        <v>4292</v>
      </c>
      <c r="Q794">
        <v>2</v>
      </c>
      <c r="R794" t="str">
        <f>IF(Table1_2[[#This Row],[Total Price]]&gt;3330.41,"OUTLIER","NORMAL")</f>
        <v>NORMAL</v>
      </c>
      <c r="S794" s="5">
        <v>0</v>
      </c>
    </row>
    <row r="795" spans="1:19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4293</v>
      </c>
      <c r="M795" s="3" t="s">
        <v>4279</v>
      </c>
      <c r="N795" s="6">
        <v>851.1</v>
      </c>
      <c r="O795">
        <v>2024</v>
      </c>
      <c r="P795" s="3" t="s">
        <v>4294</v>
      </c>
      <c r="Q795">
        <v>2</v>
      </c>
      <c r="R795" t="str">
        <f>IF(Table1_2[[#This Row],[Total Price]]&gt;3330.41,"OUTLIER","NORMAL")</f>
        <v>NORMAL</v>
      </c>
      <c r="S795" s="5">
        <v>0</v>
      </c>
    </row>
    <row r="796" spans="1:19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 s="6">
        <v>1539.4</v>
      </c>
      <c r="O796">
        <v>2023</v>
      </c>
      <c r="P796" s="3" t="s">
        <v>4297</v>
      </c>
      <c r="Q796">
        <v>1</v>
      </c>
      <c r="R796" t="str">
        <f>IF(Table1_2[[#This Row],[Total Price]]&gt;3330.41,"OUTLIER","NORMAL")</f>
        <v>NORMAL</v>
      </c>
      <c r="S796" s="5">
        <v>0</v>
      </c>
    </row>
    <row r="797" spans="1:19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 s="6">
        <v>463.08</v>
      </c>
      <c r="O797">
        <v>2024</v>
      </c>
      <c r="P797" s="3" t="s">
        <v>4295</v>
      </c>
      <c r="Q797">
        <v>4</v>
      </c>
      <c r="R797" t="str">
        <f>IF(Table1_2[[#This Row],[Total Price]]&gt;3330.41,"OUTLIER","NORMAL")</f>
        <v>NORMAL</v>
      </c>
      <c r="S797" s="5">
        <v>0</v>
      </c>
    </row>
    <row r="798" spans="1:19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 s="6">
        <v>1738.65</v>
      </c>
      <c r="O798">
        <v>2025</v>
      </c>
      <c r="P798" s="3" t="s">
        <v>4294</v>
      </c>
      <c r="Q798">
        <v>2</v>
      </c>
      <c r="R798" t="str">
        <f>IF(Table1_2[[#This Row],[Total Price]]&gt;3330.41,"OUTLIER","NORMAL")</f>
        <v>NORMAL</v>
      </c>
      <c r="S798" s="5">
        <v>0</v>
      </c>
    </row>
    <row r="799" spans="1:19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4293</v>
      </c>
      <c r="M799" s="3" t="s">
        <v>4281</v>
      </c>
      <c r="N799" s="6">
        <v>877.52</v>
      </c>
      <c r="O799">
        <v>2023</v>
      </c>
      <c r="P799" s="3" t="s">
        <v>4289</v>
      </c>
      <c r="Q799">
        <v>1</v>
      </c>
      <c r="R799" t="str">
        <f>IF(Table1_2[[#This Row],[Total Price]]&gt;3330.41,"OUTLIER","NORMAL")</f>
        <v>NORMAL</v>
      </c>
      <c r="S799" s="5">
        <v>0</v>
      </c>
    </row>
    <row r="800" spans="1:19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 s="6">
        <v>2441.75</v>
      </c>
      <c r="O800">
        <v>2025</v>
      </c>
      <c r="P800" s="3" t="s">
        <v>4291</v>
      </c>
      <c r="Q800">
        <v>2</v>
      </c>
      <c r="R800" t="str">
        <f>IF(Table1_2[[#This Row],[Total Price]]&gt;3330.41,"OUTLIER","NORMAL")</f>
        <v>NORMAL</v>
      </c>
      <c r="S800" s="5">
        <v>0</v>
      </c>
    </row>
    <row r="801" spans="1:19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 s="6">
        <v>1314.24</v>
      </c>
      <c r="O801">
        <v>2023</v>
      </c>
      <c r="P801" s="3" t="s">
        <v>4294</v>
      </c>
      <c r="Q801">
        <v>2</v>
      </c>
      <c r="R801" t="str">
        <f>IF(Table1_2[[#This Row],[Total Price]]&gt;3330.41,"OUTLIER","NORMAL")</f>
        <v>NORMAL</v>
      </c>
      <c r="S801" s="5">
        <v>0</v>
      </c>
    </row>
    <row r="802" spans="1:19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 s="6">
        <v>68.39</v>
      </c>
      <c r="O802">
        <v>2025</v>
      </c>
      <c r="P802" s="3" t="s">
        <v>4297</v>
      </c>
      <c r="Q802">
        <v>1</v>
      </c>
      <c r="R802" t="str">
        <f>IF(Table1_2[[#This Row],[Total Price]]&gt;3330.41,"OUTLIER","NORMAL")</f>
        <v>NORMAL</v>
      </c>
      <c r="S802" s="5">
        <v>0</v>
      </c>
    </row>
    <row r="803" spans="1:19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 s="6">
        <v>2382.48</v>
      </c>
      <c r="O803">
        <v>2023</v>
      </c>
      <c r="P803" s="3" t="s">
        <v>4291</v>
      </c>
      <c r="Q803">
        <v>2</v>
      </c>
      <c r="R803" t="str">
        <f>IF(Table1_2[[#This Row],[Total Price]]&gt;3330.41,"OUTLIER","NORMAL")</f>
        <v>NORMAL</v>
      </c>
      <c r="S803" s="5">
        <v>0</v>
      </c>
    </row>
    <row r="804" spans="1:19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 s="6">
        <v>3223.2</v>
      </c>
      <c r="O804">
        <v>2024</v>
      </c>
      <c r="P804" s="3" t="s">
        <v>4289</v>
      </c>
      <c r="Q804">
        <v>1</v>
      </c>
      <c r="R804" t="str">
        <f>IF(Table1_2[[#This Row],[Total Price]]&gt;3330.41,"OUTLIER","NORMAL")</f>
        <v>NORMAL</v>
      </c>
      <c r="S804" s="5">
        <v>0</v>
      </c>
    </row>
    <row r="805" spans="1:19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 s="6">
        <v>1989.05</v>
      </c>
      <c r="O805">
        <v>2023</v>
      </c>
      <c r="P805" s="3" t="s">
        <v>4288</v>
      </c>
      <c r="Q805">
        <v>3</v>
      </c>
      <c r="R805" t="str">
        <f>IF(Table1_2[[#This Row],[Total Price]]&gt;3330.41,"OUTLIER","NORMAL")</f>
        <v>NORMAL</v>
      </c>
      <c r="S805" s="5">
        <v>0</v>
      </c>
    </row>
    <row r="806" spans="1:19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 s="6">
        <v>709.5</v>
      </c>
      <c r="O806">
        <v>2024</v>
      </c>
      <c r="P806" s="3" t="s">
        <v>4287</v>
      </c>
      <c r="Q806">
        <v>1</v>
      </c>
      <c r="R806" t="str">
        <f>IF(Table1_2[[#This Row],[Total Price]]&gt;3330.41,"OUTLIER","NORMAL")</f>
        <v>NORMAL</v>
      </c>
      <c r="S806" s="5">
        <v>0</v>
      </c>
    </row>
    <row r="807" spans="1:19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 s="6">
        <v>2360.0500000000002</v>
      </c>
      <c r="O807">
        <v>2024</v>
      </c>
      <c r="P807" s="3" t="s">
        <v>4290</v>
      </c>
      <c r="Q807">
        <v>4</v>
      </c>
      <c r="R807" t="str">
        <f>IF(Table1_2[[#This Row],[Total Price]]&gt;3330.41,"OUTLIER","NORMAL")</f>
        <v>NORMAL</v>
      </c>
      <c r="S807" s="5">
        <v>0</v>
      </c>
    </row>
    <row r="808" spans="1:19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 s="6">
        <v>1268.75</v>
      </c>
      <c r="O808">
        <v>2023</v>
      </c>
      <c r="P808" s="3" t="s">
        <v>4299</v>
      </c>
      <c r="Q808">
        <v>3</v>
      </c>
      <c r="R808" t="str">
        <f>IF(Table1_2[[#This Row],[Total Price]]&gt;3330.41,"OUTLIER","NORMAL")</f>
        <v>NORMAL</v>
      </c>
      <c r="S808" s="5">
        <v>0</v>
      </c>
    </row>
    <row r="809" spans="1:19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 s="6">
        <v>2028.63</v>
      </c>
      <c r="O809">
        <v>2024</v>
      </c>
      <c r="P809" s="3" t="s">
        <v>4295</v>
      </c>
      <c r="Q809">
        <v>4</v>
      </c>
      <c r="R809" t="str">
        <f>IF(Table1_2[[#This Row],[Total Price]]&gt;3330.41,"OUTLIER","NORMAL")</f>
        <v>NORMAL</v>
      </c>
      <c r="S809" s="5">
        <v>0</v>
      </c>
    </row>
    <row r="810" spans="1:19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4293</v>
      </c>
      <c r="M810" s="3" t="s">
        <v>4282</v>
      </c>
      <c r="N810" s="6">
        <v>402.15</v>
      </c>
      <c r="O810">
        <v>2024</v>
      </c>
      <c r="P810" s="3" t="s">
        <v>4289</v>
      </c>
      <c r="Q810">
        <v>1</v>
      </c>
      <c r="R810" t="str">
        <f>IF(Table1_2[[#This Row],[Total Price]]&gt;3330.41,"OUTLIER","NORMAL")</f>
        <v>NORMAL</v>
      </c>
      <c r="S810" s="5">
        <v>0</v>
      </c>
    </row>
    <row r="811" spans="1:19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 s="6">
        <v>1087.1500000000001</v>
      </c>
      <c r="O811">
        <v>2024</v>
      </c>
      <c r="P811" s="3" t="s">
        <v>4294</v>
      </c>
      <c r="Q811">
        <v>2</v>
      </c>
      <c r="R811" t="str">
        <f>IF(Table1_2[[#This Row],[Total Price]]&gt;3330.41,"OUTLIER","NORMAL")</f>
        <v>NORMAL</v>
      </c>
      <c r="S811" s="5">
        <v>0</v>
      </c>
    </row>
    <row r="812" spans="1:19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4293</v>
      </c>
      <c r="M812" s="3" t="s">
        <v>4279</v>
      </c>
      <c r="N812" s="6">
        <v>553.55999999999995</v>
      </c>
      <c r="O812">
        <v>2023</v>
      </c>
      <c r="P812" s="3" t="s">
        <v>4291</v>
      </c>
      <c r="Q812">
        <v>2</v>
      </c>
      <c r="R812" t="str">
        <f>IF(Table1_2[[#This Row],[Total Price]]&gt;3330.41,"OUTLIER","NORMAL")</f>
        <v>NORMAL</v>
      </c>
      <c r="S812" s="5">
        <v>0</v>
      </c>
    </row>
    <row r="813" spans="1:19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 s="6">
        <v>57.1</v>
      </c>
      <c r="O813">
        <v>2023</v>
      </c>
      <c r="P813" s="3" t="s">
        <v>4295</v>
      </c>
      <c r="Q813">
        <v>4</v>
      </c>
      <c r="R813" t="str">
        <f>IF(Table1_2[[#This Row],[Total Price]]&gt;3330.41,"OUTLIER","NORMAL")</f>
        <v>NORMAL</v>
      </c>
      <c r="S813" s="5">
        <v>0</v>
      </c>
    </row>
    <row r="814" spans="1:19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 s="6">
        <v>510.52</v>
      </c>
      <c r="O814">
        <v>2024</v>
      </c>
      <c r="P814" s="3" t="s">
        <v>4287</v>
      </c>
      <c r="Q814">
        <v>1</v>
      </c>
      <c r="R814" t="str">
        <f>IF(Table1_2[[#This Row],[Total Price]]&gt;3330.41,"OUTLIER","NORMAL")</f>
        <v>NORMAL</v>
      </c>
      <c r="S814" s="5">
        <v>0</v>
      </c>
    </row>
    <row r="815" spans="1:19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 s="6">
        <v>1462.7</v>
      </c>
      <c r="O815">
        <v>2025</v>
      </c>
      <c r="P815" s="3" t="s">
        <v>4297</v>
      </c>
      <c r="Q815">
        <v>1</v>
      </c>
      <c r="R815" t="str">
        <f>IF(Table1_2[[#This Row],[Total Price]]&gt;3330.41,"OUTLIER","NORMAL")</f>
        <v>NORMAL</v>
      </c>
      <c r="S815" s="5">
        <v>0</v>
      </c>
    </row>
    <row r="816" spans="1:19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 s="6">
        <v>590.04</v>
      </c>
      <c r="O816">
        <v>2024</v>
      </c>
      <c r="P816" s="3" t="s">
        <v>4296</v>
      </c>
      <c r="Q816">
        <v>4</v>
      </c>
      <c r="R816" t="str">
        <f>IF(Table1_2[[#This Row],[Total Price]]&gt;3330.41,"OUTLIER","NORMAL")</f>
        <v>NORMAL</v>
      </c>
      <c r="S816" s="5">
        <v>0</v>
      </c>
    </row>
    <row r="817" spans="1:19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 s="6">
        <v>1709.52</v>
      </c>
      <c r="O817">
        <v>2024</v>
      </c>
      <c r="P817" s="3" t="s">
        <v>4288</v>
      </c>
      <c r="Q817">
        <v>3</v>
      </c>
      <c r="R817" t="str">
        <f>IF(Table1_2[[#This Row],[Total Price]]&gt;3330.41,"OUTLIER","NORMAL")</f>
        <v>NORMAL</v>
      </c>
      <c r="S817" s="5">
        <v>0</v>
      </c>
    </row>
    <row r="818" spans="1:19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 s="6">
        <v>2873.95</v>
      </c>
      <c r="O818">
        <v>2024</v>
      </c>
      <c r="P818" s="3" t="s">
        <v>4289</v>
      </c>
      <c r="Q818">
        <v>1</v>
      </c>
      <c r="R818" t="str">
        <f>IF(Table1_2[[#This Row],[Total Price]]&gt;3330.41,"OUTLIER","NORMAL")</f>
        <v>NORMAL</v>
      </c>
      <c r="S818" s="5">
        <v>0</v>
      </c>
    </row>
    <row r="819" spans="1:19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 s="6">
        <v>2392.7600000000002</v>
      </c>
      <c r="O819">
        <v>2023</v>
      </c>
      <c r="P819" s="3" t="s">
        <v>4290</v>
      </c>
      <c r="Q819">
        <v>4</v>
      </c>
      <c r="R819" t="str">
        <f>IF(Table1_2[[#This Row],[Total Price]]&gt;3330.41,"OUTLIER","NORMAL")</f>
        <v>NORMAL</v>
      </c>
      <c r="S819" s="5">
        <v>0</v>
      </c>
    </row>
    <row r="820" spans="1:19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 s="6">
        <v>1563.36</v>
      </c>
      <c r="O820">
        <v>2023</v>
      </c>
      <c r="P820" s="3" t="s">
        <v>4297</v>
      </c>
      <c r="Q820">
        <v>1</v>
      </c>
      <c r="R820" t="str">
        <f>IF(Table1_2[[#This Row],[Total Price]]&gt;3330.41,"OUTLIER","NORMAL")</f>
        <v>NORMAL</v>
      </c>
      <c r="S820" s="5">
        <v>0</v>
      </c>
    </row>
    <row r="821" spans="1:19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 s="6">
        <v>796.9</v>
      </c>
      <c r="O821">
        <v>2024</v>
      </c>
      <c r="P821" s="3" t="s">
        <v>4299</v>
      </c>
      <c r="Q821">
        <v>3</v>
      </c>
      <c r="R821" t="str">
        <f>IF(Table1_2[[#This Row],[Total Price]]&gt;3330.41,"OUTLIER","NORMAL")</f>
        <v>NORMAL</v>
      </c>
      <c r="S821" s="5">
        <v>0</v>
      </c>
    </row>
    <row r="822" spans="1:19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 s="6">
        <v>3119.05</v>
      </c>
      <c r="O822">
        <v>2023</v>
      </c>
      <c r="P822" s="3" t="s">
        <v>4291</v>
      </c>
      <c r="Q822">
        <v>2</v>
      </c>
      <c r="R822" t="str">
        <f>IF(Table1_2[[#This Row],[Total Price]]&gt;3330.41,"OUTLIER","NORMAL")</f>
        <v>NORMAL</v>
      </c>
      <c r="S822" s="5">
        <v>0</v>
      </c>
    </row>
    <row r="823" spans="1:19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 s="6">
        <v>697.96</v>
      </c>
      <c r="O823">
        <v>2024</v>
      </c>
      <c r="P823" s="3" t="s">
        <v>4296</v>
      </c>
      <c r="Q823">
        <v>4</v>
      </c>
      <c r="R823" t="str">
        <f>IF(Table1_2[[#This Row],[Total Price]]&gt;3330.41,"OUTLIER","NORMAL")</f>
        <v>NORMAL</v>
      </c>
      <c r="S823" s="5">
        <v>0</v>
      </c>
    </row>
    <row r="824" spans="1:19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 s="6">
        <v>479.56</v>
      </c>
      <c r="O824">
        <v>2025</v>
      </c>
      <c r="P824" s="3" t="s">
        <v>4297</v>
      </c>
      <c r="Q824">
        <v>1</v>
      </c>
      <c r="R824" t="str">
        <f>IF(Table1_2[[#This Row],[Total Price]]&gt;3330.41,"OUTLIER","NORMAL")</f>
        <v>NORMAL</v>
      </c>
      <c r="S824" s="5">
        <v>0</v>
      </c>
    </row>
    <row r="825" spans="1:19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 s="6">
        <v>2612.52</v>
      </c>
      <c r="O825">
        <v>2024</v>
      </c>
      <c r="P825" s="3" t="s">
        <v>4290</v>
      </c>
      <c r="Q825">
        <v>4</v>
      </c>
      <c r="R825" t="str">
        <f>IF(Table1_2[[#This Row],[Total Price]]&gt;3330.41,"OUTLIER","NORMAL")</f>
        <v>NORMAL</v>
      </c>
      <c r="S825" s="5">
        <v>0</v>
      </c>
    </row>
    <row r="826" spans="1:19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 s="6">
        <v>1443.3</v>
      </c>
      <c r="O826">
        <v>2023</v>
      </c>
      <c r="P826" s="3" t="s">
        <v>4288</v>
      </c>
      <c r="Q826">
        <v>3</v>
      </c>
      <c r="R826" t="str">
        <f>IF(Table1_2[[#This Row],[Total Price]]&gt;3330.41,"OUTLIER","NORMAL")</f>
        <v>NORMAL</v>
      </c>
      <c r="S826" s="5">
        <v>0</v>
      </c>
    </row>
    <row r="827" spans="1:19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 s="6">
        <v>1358.45</v>
      </c>
      <c r="O827">
        <v>2025</v>
      </c>
      <c r="P827" s="3" t="s">
        <v>4297</v>
      </c>
      <c r="Q827">
        <v>1</v>
      </c>
      <c r="R827" t="str">
        <f>IF(Table1_2[[#This Row],[Total Price]]&gt;3330.41,"OUTLIER","NORMAL")</f>
        <v>NORMAL</v>
      </c>
      <c r="S827" s="5">
        <v>0</v>
      </c>
    </row>
    <row r="828" spans="1:19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 s="6">
        <v>1391.43</v>
      </c>
      <c r="O828">
        <v>2025</v>
      </c>
      <c r="P828" s="3" t="s">
        <v>4297</v>
      </c>
      <c r="Q828">
        <v>1</v>
      </c>
      <c r="R828" t="str">
        <f>IF(Table1_2[[#This Row],[Total Price]]&gt;3330.41,"OUTLIER","NORMAL")</f>
        <v>NORMAL</v>
      </c>
      <c r="S828" s="5">
        <v>0</v>
      </c>
    </row>
    <row r="829" spans="1:19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 s="6">
        <v>1279.76</v>
      </c>
      <c r="O829">
        <v>2023</v>
      </c>
      <c r="P829" s="3" t="s">
        <v>4291</v>
      </c>
      <c r="Q829">
        <v>2</v>
      </c>
      <c r="R829" t="str">
        <f>IF(Table1_2[[#This Row],[Total Price]]&gt;3330.41,"OUTLIER","NORMAL")</f>
        <v>NORMAL</v>
      </c>
      <c r="S829" s="5">
        <v>0</v>
      </c>
    </row>
    <row r="830" spans="1:19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 s="6">
        <v>1618.32</v>
      </c>
      <c r="O830">
        <v>2024</v>
      </c>
      <c r="P830" s="3" t="s">
        <v>4298</v>
      </c>
      <c r="Q830">
        <v>3</v>
      </c>
      <c r="R830" t="str">
        <f>IF(Table1_2[[#This Row],[Total Price]]&gt;3330.41,"OUTLIER","NORMAL")</f>
        <v>NORMAL</v>
      </c>
      <c r="S830" s="5">
        <v>0</v>
      </c>
    </row>
    <row r="831" spans="1:19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 s="6">
        <v>76.930000000000007</v>
      </c>
      <c r="O831">
        <v>2023</v>
      </c>
      <c r="P831" s="3" t="s">
        <v>4289</v>
      </c>
      <c r="Q831">
        <v>1</v>
      </c>
      <c r="R831" t="str">
        <f>IF(Table1_2[[#This Row],[Total Price]]&gt;3330.41,"OUTLIER","NORMAL")</f>
        <v>NORMAL</v>
      </c>
      <c r="S831" s="5">
        <v>0</v>
      </c>
    </row>
    <row r="832" spans="1:19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 s="6">
        <v>762.56</v>
      </c>
      <c r="O832">
        <v>2024</v>
      </c>
      <c r="P832" s="3" t="s">
        <v>4296</v>
      </c>
      <c r="Q832">
        <v>4</v>
      </c>
      <c r="R832" t="str">
        <f>IF(Table1_2[[#This Row],[Total Price]]&gt;3330.41,"OUTLIER","NORMAL")</f>
        <v>NORMAL</v>
      </c>
      <c r="S832" s="5">
        <v>0</v>
      </c>
    </row>
    <row r="833" spans="1:19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4293</v>
      </c>
      <c r="M833" s="3" t="s">
        <v>4282</v>
      </c>
      <c r="N833" s="6">
        <v>177.46</v>
      </c>
      <c r="O833">
        <v>2023</v>
      </c>
      <c r="P833" s="3" t="s">
        <v>4296</v>
      </c>
      <c r="Q833">
        <v>4</v>
      </c>
      <c r="R833" t="str">
        <f>IF(Table1_2[[#This Row],[Total Price]]&gt;3330.41,"OUTLIER","NORMAL")</f>
        <v>NORMAL</v>
      </c>
      <c r="S833" s="5">
        <v>0</v>
      </c>
    </row>
    <row r="834" spans="1:19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 s="6">
        <v>2428.5500000000002</v>
      </c>
      <c r="O834">
        <v>2024</v>
      </c>
      <c r="P834" s="3" t="s">
        <v>4297</v>
      </c>
      <c r="Q834">
        <v>1</v>
      </c>
      <c r="R834" t="str">
        <f>IF(Table1_2[[#This Row],[Total Price]]&gt;3330.41,"OUTLIER","NORMAL")</f>
        <v>NORMAL</v>
      </c>
      <c r="S834" s="5">
        <v>0</v>
      </c>
    </row>
    <row r="835" spans="1:19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 s="6">
        <v>391.45</v>
      </c>
      <c r="O835">
        <v>2025</v>
      </c>
      <c r="P835" s="3" t="s">
        <v>4297</v>
      </c>
      <c r="Q835">
        <v>1</v>
      </c>
      <c r="R835" t="str">
        <f>IF(Table1_2[[#This Row],[Total Price]]&gt;3330.41,"OUTLIER","NORMAL")</f>
        <v>NORMAL</v>
      </c>
      <c r="S835" s="5">
        <v>0</v>
      </c>
    </row>
    <row r="836" spans="1:19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4293</v>
      </c>
      <c r="M836" s="3" t="s">
        <v>4278</v>
      </c>
      <c r="N836" s="6">
        <v>110.7</v>
      </c>
      <c r="O836">
        <v>2024</v>
      </c>
      <c r="P836" s="3" t="s">
        <v>4294</v>
      </c>
      <c r="Q836">
        <v>2</v>
      </c>
      <c r="R836" t="str">
        <f>IF(Table1_2[[#This Row],[Total Price]]&gt;3330.41,"OUTLIER","NORMAL")</f>
        <v>NORMAL</v>
      </c>
      <c r="S836" s="5">
        <v>0</v>
      </c>
    </row>
    <row r="837" spans="1:19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 s="6">
        <v>679.65</v>
      </c>
      <c r="O837">
        <v>2024</v>
      </c>
      <c r="P837" s="3" t="s">
        <v>4297</v>
      </c>
      <c r="Q837">
        <v>1</v>
      </c>
      <c r="R837" t="str">
        <f>IF(Table1_2[[#This Row],[Total Price]]&gt;3330.41,"OUTLIER","NORMAL")</f>
        <v>NORMAL</v>
      </c>
      <c r="S837" s="5">
        <v>0</v>
      </c>
    </row>
    <row r="838" spans="1:19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 s="6">
        <v>178.44</v>
      </c>
      <c r="O838">
        <v>2023</v>
      </c>
      <c r="P838" s="3" t="s">
        <v>4289</v>
      </c>
      <c r="Q838">
        <v>1</v>
      </c>
      <c r="R838" t="str">
        <f>IF(Table1_2[[#This Row],[Total Price]]&gt;3330.41,"OUTLIER","NORMAL")</f>
        <v>NORMAL</v>
      </c>
      <c r="S838" s="5">
        <v>0</v>
      </c>
    </row>
    <row r="839" spans="1:19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4293</v>
      </c>
      <c r="M839" s="3" t="s">
        <v>4280</v>
      </c>
      <c r="N839" s="6">
        <v>3277.75</v>
      </c>
      <c r="O839">
        <v>2025</v>
      </c>
      <c r="P839" s="3" t="s">
        <v>4292</v>
      </c>
      <c r="Q839">
        <v>2</v>
      </c>
      <c r="R839" t="str">
        <f>IF(Table1_2[[#This Row],[Total Price]]&gt;3330.41,"OUTLIER","NORMAL")</f>
        <v>NORMAL</v>
      </c>
      <c r="S839" s="5">
        <v>0</v>
      </c>
    </row>
    <row r="840" spans="1:19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4293</v>
      </c>
      <c r="M840" s="3" t="s">
        <v>4281</v>
      </c>
      <c r="N840" s="6">
        <v>2308.3200000000002</v>
      </c>
      <c r="O840">
        <v>2024</v>
      </c>
      <c r="P840" s="3" t="s">
        <v>4294</v>
      </c>
      <c r="Q840">
        <v>2</v>
      </c>
      <c r="R840" t="str">
        <f>IF(Table1_2[[#This Row],[Total Price]]&gt;3330.41,"OUTLIER","NORMAL")</f>
        <v>NORMAL</v>
      </c>
      <c r="S840" s="5">
        <v>0</v>
      </c>
    </row>
    <row r="841" spans="1:19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4293</v>
      </c>
      <c r="M841" s="3" t="s">
        <v>4282</v>
      </c>
      <c r="N841" s="6">
        <v>593.91</v>
      </c>
      <c r="O841">
        <v>2023</v>
      </c>
      <c r="P841" s="3" t="s">
        <v>4288</v>
      </c>
      <c r="Q841">
        <v>3</v>
      </c>
      <c r="R841" t="str">
        <f>IF(Table1_2[[#This Row],[Total Price]]&gt;3330.41,"OUTLIER","NORMAL")</f>
        <v>NORMAL</v>
      </c>
      <c r="S841" s="5">
        <v>0</v>
      </c>
    </row>
    <row r="842" spans="1:19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 s="6">
        <v>1235.8499999999999</v>
      </c>
      <c r="O842">
        <v>2024</v>
      </c>
      <c r="P842" s="3" t="s">
        <v>4287</v>
      </c>
      <c r="Q842">
        <v>1</v>
      </c>
      <c r="R842" t="str">
        <f>IF(Table1_2[[#This Row],[Total Price]]&gt;3330.41,"OUTLIER","NORMAL")</f>
        <v>NORMAL</v>
      </c>
      <c r="S842" s="5">
        <v>0</v>
      </c>
    </row>
    <row r="843" spans="1:19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4293</v>
      </c>
      <c r="M843" s="3" t="s">
        <v>4281</v>
      </c>
      <c r="N843" s="6">
        <v>886.44</v>
      </c>
      <c r="O843">
        <v>2024</v>
      </c>
      <c r="P843" s="3" t="s">
        <v>4299</v>
      </c>
      <c r="Q843">
        <v>3</v>
      </c>
      <c r="R843" t="str">
        <f>IF(Table1_2[[#This Row],[Total Price]]&gt;3330.41,"OUTLIER","NORMAL")</f>
        <v>NORMAL</v>
      </c>
      <c r="S843" s="5">
        <v>0</v>
      </c>
    </row>
    <row r="844" spans="1:19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 s="6">
        <v>1092.42</v>
      </c>
      <c r="O844">
        <v>2025</v>
      </c>
      <c r="P844" s="3" t="s">
        <v>4291</v>
      </c>
      <c r="Q844">
        <v>2</v>
      </c>
      <c r="R844" t="str">
        <f>IF(Table1_2[[#This Row],[Total Price]]&gt;3330.41,"OUTLIER","NORMAL")</f>
        <v>NORMAL</v>
      </c>
      <c r="S844" s="5">
        <v>0</v>
      </c>
    </row>
    <row r="845" spans="1:19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 s="6">
        <v>1290.18</v>
      </c>
      <c r="O845">
        <v>2025</v>
      </c>
      <c r="P845" s="3" t="s">
        <v>4291</v>
      </c>
      <c r="Q845">
        <v>2</v>
      </c>
      <c r="R845" t="str">
        <f>IF(Table1_2[[#This Row],[Total Price]]&gt;3330.41,"OUTLIER","NORMAL")</f>
        <v>NORMAL</v>
      </c>
      <c r="S845" s="5">
        <v>0</v>
      </c>
    </row>
    <row r="846" spans="1:19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 s="6">
        <v>320.92</v>
      </c>
      <c r="O846">
        <v>2024</v>
      </c>
      <c r="P846" s="3" t="s">
        <v>4296</v>
      </c>
      <c r="Q846">
        <v>4</v>
      </c>
      <c r="R846" t="str">
        <f>IF(Table1_2[[#This Row],[Total Price]]&gt;3330.41,"OUTLIER","NORMAL")</f>
        <v>NORMAL</v>
      </c>
      <c r="S846" s="5">
        <v>0</v>
      </c>
    </row>
    <row r="847" spans="1:19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 s="6">
        <v>322.08</v>
      </c>
      <c r="O847">
        <v>2023</v>
      </c>
      <c r="P847" s="3" t="s">
        <v>4290</v>
      </c>
      <c r="Q847">
        <v>4</v>
      </c>
      <c r="R847" t="str">
        <f>IF(Table1_2[[#This Row],[Total Price]]&gt;3330.41,"OUTLIER","NORMAL")</f>
        <v>NORMAL</v>
      </c>
      <c r="S847" s="5">
        <v>0</v>
      </c>
    </row>
    <row r="848" spans="1:19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4293</v>
      </c>
      <c r="M848" s="3" t="s">
        <v>4279</v>
      </c>
      <c r="N848" s="6">
        <v>719.72</v>
      </c>
      <c r="O848">
        <v>2024</v>
      </c>
      <c r="P848" s="3" t="s">
        <v>4298</v>
      </c>
      <c r="Q848">
        <v>3</v>
      </c>
      <c r="R848" t="str">
        <f>IF(Table1_2[[#This Row],[Total Price]]&gt;3330.41,"OUTLIER","NORMAL")</f>
        <v>NORMAL</v>
      </c>
      <c r="S848" s="5">
        <v>0</v>
      </c>
    </row>
    <row r="849" spans="1:19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 s="6">
        <v>1736.92</v>
      </c>
      <c r="O849">
        <v>2024</v>
      </c>
      <c r="P849" s="3" t="s">
        <v>4295</v>
      </c>
      <c r="Q849">
        <v>4</v>
      </c>
      <c r="R849" t="str">
        <f>IF(Table1_2[[#This Row],[Total Price]]&gt;3330.41,"OUTLIER","NORMAL")</f>
        <v>NORMAL</v>
      </c>
      <c r="S849" s="5">
        <v>0</v>
      </c>
    </row>
    <row r="850" spans="1:19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4293</v>
      </c>
      <c r="M850" s="3" t="s">
        <v>4279</v>
      </c>
      <c r="N850" s="6">
        <v>1291.7</v>
      </c>
      <c r="O850">
        <v>2023</v>
      </c>
      <c r="P850" s="3" t="s">
        <v>4287</v>
      </c>
      <c r="Q850">
        <v>1</v>
      </c>
      <c r="R850" t="str">
        <f>IF(Table1_2[[#This Row],[Total Price]]&gt;3330.41,"OUTLIER","NORMAL")</f>
        <v>NORMAL</v>
      </c>
      <c r="S850" s="5">
        <v>0</v>
      </c>
    </row>
    <row r="851" spans="1:19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 s="6">
        <v>857.4</v>
      </c>
      <c r="O851">
        <v>2025</v>
      </c>
      <c r="P851" s="3" t="s">
        <v>4292</v>
      </c>
      <c r="Q851">
        <v>2</v>
      </c>
      <c r="R851" t="str">
        <f>IF(Table1_2[[#This Row],[Total Price]]&gt;3330.41,"OUTLIER","NORMAL")</f>
        <v>NORMAL</v>
      </c>
      <c r="S851" s="5">
        <v>0</v>
      </c>
    </row>
    <row r="852" spans="1:19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 s="6">
        <v>1915.5</v>
      </c>
      <c r="O852">
        <v>2025</v>
      </c>
      <c r="P852" s="3" t="s">
        <v>4294</v>
      </c>
      <c r="Q852">
        <v>2</v>
      </c>
      <c r="R852" t="str">
        <f>IF(Table1_2[[#This Row],[Total Price]]&gt;3330.41,"OUTLIER","NORMAL")</f>
        <v>NORMAL</v>
      </c>
      <c r="S852" s="5">
        <v>0</v>
      </c>
    </row>
    <row r="853" spans="1:19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 s="6">
        <v>365.57</v>
      </c>
      <c r="O853">
        <v>2023</v>
      </c>
      <c r="P853" s="3" t="s">
        <v>4296</v>
      </c>
      <c r="Q853">
        <v>4</v>
      </c>
      <c r="R853" t="str">
        <f>IF(Table1_2[[#This Row],[Total Price]]&gt;3330.41,"OUTLIER","NORMAL")</f>
        <v>NORMAL</v>
      </c>
      <c r="S853" s="5">
        <v>0</v>
      </c>
    </row>
    <row r="854" spans="1:19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 s="6">
        <v>1704.15</v>
      </c>
      <c r="O854">
        <v>2024</v>
      </c>
      <c r="P854" s="3" t="s">
        <v>4290</v>
      </c>
      <c r="Q854">
        <v>4</v>
      </c>
      <c r="R854" t="str">
        <f>IF(Table1_2[[#This Row],[Total Price]]&gt;3330.41,"OUTLIER","NORMAL")</f>
        <v>NORMAL</v>
      </c>
      <c r="S854" s="5">
        <v>0</v>
      </c>
    </row>
    <row r="855" spans="1:19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 s="6">
        <v>1470.03</v>
      </c>
      <c r="O855">
        <v>2023</v>
      </c>
      <c r="P855" s="3" t="s">
        <v>4290</v>
      </c>
      <c r="Q855">
        <v>4</v>
      </c>
      <c r="R855" t="str">
        <f>IF(Table1_2[[#This Row],[Total Price]]&gt;3330.41,"OUTLIER","NORMAL")</f>
        <v>NORMAL</v>
      </c>
      <c r="S855" s="5">
        <v>0</v>
      </c>
    </row>
    <row r="856" spans="1:19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 s="6">
        <v>1117.8</v>
      </c>
      <c r="O856">
        <v>2025</v>
      </c>
      <c r="P856" s="3" t="s">
        <v>4292</v>
      </c>
      <c r="Q856">
        <v>2</v>
      </c>
      <c r="R856" t="str">
        <f>IF(Table1_2[[#This Row],[Total Price]]&gt;3330.41,"OUTLIER","NORMAL")</f>
        <v>NORMAL</v>
      </c>
      <c r="S856" s="5">
        <v>0</v>
      </c>
    </row>
    <row r="857" spans="1:19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 s="6">
        <v>1203.05</v>
      </c>
      <c r="O857">
        <v>2023</v>
      </c>
      <c r="P857" s="3" t="s">
        <v>4291</v>
      </c>
      <c r="Q857">
        <v>2</v>
      </c>
      <c r="R857" t="str">
        <f>IF(Table1_2[[#This Row],[Total Price]]&gt;3330.41,"OUTLIER","NORMAL")</f>
        <v>NORMAL</v>
      </c>
      <c r="S857" s="5">
        <v>0</v>
      </c>
    </row>
    <row r="858" spans="1:19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4293</v>
      </c>
      <c r="M858" s="3" t="s">
        <v>4281</v>
      </c>
      <c r="N858" s="6">
        <v>586.62</v>
      </c>
      <c r="O858">
        <v>2024</v>
      </c>
      <c r="P858" s="3" t="s">
        <v>4292</v>
      </c>
      <c r="Q858">
        <v>2</v>
      </c>
      <c r="R858" t="str">
        <f>IF(Table1_2[[#This Row],[Total Price]]&gt;3330.41,"OUTLIER","NORMAL")</f>
        <v>NORMAL</v>
      </c>
      <c r="S858" s="5">
        <v>0</v>
      </c>
    </row>
    <row r="859" spans="1:19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4293</v>
      </c>
      <c r="M859" s="3" t="s">
        <v>4278</v>
      </c>
      <c r="N859" s="6">
        <v>773.52</v>
      </c>
      <c r="O859">
        <v>2024</v>
      </c>
      <c r="P859" s="3" t="s">
        <v>4297</v>
      </c>
      <c r="Q859">
        <v>1</v>
      </c>
      <c r="R859" t="str">
        <f>IF(Table1_2[[#This Row],[Total Price]]&gt;3330.41,"OUTLIER","NORMAL")</f>
        <v>NORMAL</v>
      </c>
      <c r="S859" s="5">
        <v>0</v>
      </c>
    </row>
    <row r="860" spans="1:19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4293</v>
      </c>
      <c r="M860" s="3" t="s">
        <v>4281</v>
      </c>
      <c r="N860" s="6">
        <v>2178.3000000000002</v>
      </c>
      <c r="O860">
        <v>2023</v>
      </c>
      <c r="P860" s="3" t="s">
        <v>4288</v>
      </c>
      <c r="Q860">
        <v>3</v>
      </c>
      <c r="R860" t="str">
        <f>IF(Table1_2[[#This Row],[Total Price]]&gt;3330.41,"OUTLIER","NORMAL")</f>
        <v>NORMAL</v>
      </c>
      <c r="S860" s="5">
        <v>0</v>
      </c>
    </row>
    <row r="861" spans="1:19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 s="6">
        <v>1306.6500000000001</v>
      </c>
      <c r="O861">
        <v>2024</v>
      </c>
      <c r="P861" s="3" t="s">
        <v>4288</v>
      </c>
      <c r="Q861">
        <v>3</v>
      </c>
      <c r="R861" t="str">
        <f>IF(Table1_2[[#This Row],[Total Price]]&gt;3330.41,"OUTLIER","NORMAL")</f>
        <v>NORMAL</v>
      </c>
      <c r="S861" s="5">
        <v>0</v>
      </c>
    </row>
    <row r="862" spans="1:19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 s="6">
        <v>422.54</v>
      </c>
      <c r="O862">
        <v>2024</v>
      </c>
      <c r="P862" s="3" t="s">
        <v>4287</v>
      </c>
      <c r="Q862">
        <v>1</v>
      </c>
      <c r="R862" t="str">
        <f>IF(Table1_2[[#This Row],[Total Price]]&gt;3330.41,"OUTLIER","NORMAL")</f>
        <v>NORMAL</v>
      </c>
      <c r="S862" s="5">
        <v>0</v>
      </c>
    </row>
    <row r="863" spans="1:19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 s="6">
        <v>1652.25</v>
      </c>
      <c r="O863">
        <v>2023</v>
      </c>
      <c r="P863" s="3" t="s">
        <v>4297</v>
      </c>
      <c r="Q863">
        <v>1</v>
      </c>
      <c r="R863" t="str">
        <f>IF(Table1_2[[#This Row],[Total Price]]&gt;3330.41,"OUTLIER","NORMAL")</f>
        <v>NORMAL</v>
      </c>
      <c r="S863" s="5">
        <v>0</v>
      </c>
    </row>
    <row r="864" spans="1:19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 s="6">
        <v>362.46</v>
      </c>
      <c r="O864">
        <v>2023</v>
      </c>
      <c r="P864" s="3" t="s">
        <v>4296</v>
      </c>
      <c r="Q864">
        <v>4</v>
      </c>
      <c r="R864" t="str">
        <f>IF(Table1_2[[#This Row],[Total Price]]&gt;3330.41,"OUTLIER","NORMAL")</f>
        <v>NORMAL</v>
      </c>
      <c r="S864" s="5">
        <v>0</v>
      </c>
    </row>
    <row r="865" spans="1:19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 s="6">
        <v>14.06</v>
      </c>
      <c r="O865">
        <v>2024</v>
      </c>
      <c r="P865" s="3" t="s">
        <v>4291</v>
      </c>
      <c r="Q865">
        <v>2</v>
      </c>
      <c r="R865" t="str">
        <f>IF(Table1_2[[#This Row],[Total Price]]&gt;3330.41,"OUTLIER","NORMAL")</f>
        <v>NORMAL</v>
      </c>
      <c r="S865" s="5">
        <v>0</v>
      </c>
    </row>
    <row r="866" spans="1:19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 s="6">
        <v>491.11</v>
      </c>
      <c r="O866">
        <v>2023</v>
      </c>
      <c r="P866" s="3" t="s">
        <v>4291</v>
      </c>
      <c r="Q866">
        <v>2</v>
      </c>
      <c r="R866" t="str">
        <f>IF(Table1_2[[#This Row],[Total Price]]&gt;3330.41,"OUTLIER","NORMAL")</f>
        <v>NORMAL</v>
      </c>
      <c r="S866" s="5">
        <v>0</v>
      </c>
    </row>
    <row r="867" spans="1:19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 s="6">
        <v>2709.48</v>
      </c>
      <c r="O867">
        <v>2023</v>
      </c>
      <c r="P867" s="3" t="s">
        <v>4294</v>
      </c>
      <c r="Q867">
        <v>2</v>
      </c>
      <c r="R867" t="str">
        <f>IF(Table1_2[[#This Row],[Total Price]]&gt;3330.41,"OUTLIER","NORMAL")</f>
        <v>NORMAL</v>
      </c>
      <c r="S867" s="5">
        <v>0</v>
      </c>
    </row>
    <row r="868" spans="1:19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 s="6">
        <v>946.25</v>
      </c>
      <c r="O868">
        <v>2024</v>
      </c>
      <c r="P868" s="3" t="s">
        <v>4298</v>
      </c>
      <c r="Q868">
        <v>3</v>
      </c>
      <c r="R868" t="str">
        <f>IF(Table1_2[[#This Row],[Total Price]]&gt;3330.41,"OUTLIER","NORMAL")</f>
        <v>NORMAL</v>
      </c>
      <c r="S868" s="5">
        <v>0</v>
      </c>
    </row>
    <row r="869" spans="1:19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 s="6">
        <v>570.32000000000005</v>
      </c>
      <c r="O869">
        <v>2024</v>
      </c>
      <c r="P869" s="3" t="s">
        <v>4291</v>
      </c>
      <c r="Q869">
        <v>2</v>
      </c>
      <c r="R869" t="str">
        <f>IF(Table1_2[[#This Row],[Total Price]]&gt;3330.41,"OUTLIER","NORMAL")</f>
        <v>NORMAL</v>
      </c>
      <c r="S869" s="5">
        <v>0</v>
      </c>
    </row>
    <row r="870" spans="1:19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4293</v>
      </c>
      <c r="M870" s="3" t="s">
        <v>4281</v>
      </c>
      <c r="N870" s="6">
        <v>1265.28</v>
      </c>
      <c r="O870">
        <v>2024</v>
      </c>
      <c r="P870" s="3" t="s">
        <v>4292</v>
      </c>
      <c r="Q870">
        <v>2</v>
      </c>
      <c r="R870" t="str">
        <f>IF(Table1_2[[#This Row],[Total Price]]&gt;3330.41,"OUTLIER","NORMAL")</f>
        <v>NORMAL</v>
      </c>
      <c r="S870" s="5">
        <v>0</v>
      </c>
    </row>
    <row r="871" spans="1:19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 s="6">
        <v>1067.9000000000001</v>
      </c>
      <c r="O871">
        <v>2024</v>
      </c>
      <c r="P871" s="3" t="s">
        <v>4297</v>
      </c>
      <c r="Q871">
        <v>1</v>
      </c>
      <c r="R871" t="str">
        <f>IF(Table1_2[[#This Row],[Total Price]]&gt;3330.41,"OUTLIER","NORMAL")</f>
        <v>NORMAL</v>
      </c>
      <c r="S871" s="5">
        <v>0</v>
      </c>
    </row>
    <row r="872" spans="1:19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 s="6">
        <v>1880.36</v>
      </c>
      <c r="O872">
        <v>2025</v>
      </c>
      <c r="P872" s="3" t="s">
        <v>4292</v>
      </c>
      <c r="Q872">
        <v>2</v>
      </c>
      <c r="R872" t="str">
        <f>IF(Table1_2[[#This Row],[Total Price]]&gt;3330.41,"OUTLIER","NORMAL")</f>
        <v>NORMAL</v>
      </c>
      <c r="S872" s="5">
        <v>0</v>
      </c>
    </row>
    <row r="873" spans="1:19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 s="6">
        <v>972.90000000000009</v>
      </c>
      <c r="O873">
        <v>2024</v>
      </c>
      <c r="P873" s="3" t="s">
        <v>4291</v>
      </c>
      <c r="Q873">
        <v>2</v>
      </c>
      <c r="R873" t="str">
        <f>IF(Table1_2[[#This Row],[Total Price]]&gt;3330.41,"OUTLIER","NORMAL")</f>
        <v>NORMAL</v>
      </c>
      <c r="S873" s="5">
        <v>0</v>
      </c>
    </row>
    <row r="874" spans="1:19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4293</v>
      </c>
      <c r="M874" s="3" t="s">
        <v>4280</v>
      </c>
      <c r="N874" s="6">
        <v>2517.36</v>
      </c>
      <c r="O874">
        <v>2023</v>
      </c>
      <c r="P874" s="3" t="s">
        <v>4298</v>
      </c>
      <c r="Q874">
        <v>3</v>
      </c>
      <c r="R874" t="str">
        <f>IF(Table1_2[[#This Row],[Total Price]]&gt;3330.41,"OUTLIER","NORMAL")</f>
        <v>NORMAL</v>
      </c>
      <c r="S874" s="5">
        <v>0</v>
      </c>
    </row>
    <row r="875" spans="1:19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 s="6">
        <v>410.52</v>
      </c>
      <c r="O875">
        <v>2024</v>
      </c>
      <c r="P875" s="3" t="s">
        <v>4291</v>
      </c>
      <c r="Q875">
        <v>2</v>
      </c>
      <c r="R875" t="str">
        <f>IF(Table1_2[[#This Row],[Total Price]]&gt;3330.41,"OUTLIER","NORMAL")</f>
        <v>NORMAL</v>
      </c>
      <c r="S875" s="5">
        <v>0</v>
      </c>
    </row>
    <row r="876" spans="1:19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 s="6">
        <v>977.8</v>
      </c>
      <c r="O876">
        <v>2023</v>
      </c>
      <c r="P876" s="3" t="s">
        <v>4290</v>
      </c>
      <c r="Q876">
        <v>4</v>
      </c>
      <c r="R876" t="str">
        <f>IF(Table1_2[[#This Row],[Total Price]]&gt;3330.41,"OUTLIER","NORMAL")</f>
        <v>NORMAL</v>
      </c>
      <c r="S876" s="5">
        <v>0</v>
      </c>
    </row>
    <row r="877" spans="1:19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 s="6">
        <v>666.94999999999993</v>
      </c>
      <c r="O877">
        <v>2023</v>
      </c>
      <c r="P877" s="3" t="s">
        <v>4288</v>
      </c>
      <c r="Q877">
        <v>3</v>
      </c>
      <c r="R877" t="str">
        <f>IF(Table1_2[[#This Row],[Total Price]]&gt;3330.41,"OUTLIER","NORMAL")</f>
        <v>NORMAL</v>
      </c>
      <c r="S877" s="5">
        <v>0</v>
      </c>
    </row>
    <row r="878" spans="1:19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 s="6">
        <v>3044.55</v>
      </c>
      <c r="O878">
        <v>2024</v>
      </c>
      <c r="P878" s="3" t="s">
        <v>4292</v>
      </c>
      <c r="Q878">
        <v>2</v>
      </c>
      <c r="R878" t="str">
        <f>IF(Table1_2[[#This Row],[Total Price]]&gt;3330.41,"OUTLIER","NORMAL")</f>
        <v>NORMAL</v>
      </c>
      <c r="S878" s="5">
        <v>0</v>
      </c>
    </row>
    <row r="879" spans="1:19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 s="6">
        <v>524.05999999999995</v>
      </c>
      <c r="O879">
        <v>2024</v>
      </c>
      <c r="P879" s="3" t="s">
        <v>4298</v>
      </c>
      <c r="Q879">
        <v>3</v>
      </c>
      <c r="R879" t="str">
        <f>IF(Table1_2[[#This Row],[Total Price]]&gt;3330.41,"OUTLIER","NORMAL")</f>
        <v>NORMAL</v>
      </c>
      <c r="S879" s="5">
        <v>0</v>
      </c>
    </row>
    <row r="880" spans="1:19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 s="6">
        <v>661.38</v>
      </c>
      <c r="O880">
        <v>2023</v>
      </c>
      <c r="P880" s="3" t="s">
        <v>4292</v>
      </c>
      <c r="Q880">
        <v>2</v>
      </c>
      <c r="R880" t="str">
        <f>IF(Table1_2[[#This Row],[Total Price]]&gt;3330.41,"OUTLIER","NORMAL")</f>
        <v>NORMAL</v>
      </c>
      <c r="S880" s="5">
        <v>0</v>
      </c>
    </row>
    <row r="881" spans="1:19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4293</v>
      </c>
      <c r="M881" s="3" t="s">
        <v>4278</v>
      </c>
      <c r="N881" s="6">
        <v>1095.3399999999999</v>
      </c>
      <c r="O881">
        <v>2025</v>
      </c>
      <c r="P881" s="3" t="s">
        <v>4294</v>
      </c>
      <c r="Q881">
        <v>2</v>
      </c>
      <c r="R881" t="str">
        <f>IF(Table1_2[[#This Row],[Total Price]]&gt;3330.41,"OUTLIER","NORMAL")</f>
        <v>NORMAL</v>
      </c>
      <c r="S881" s="5">
        <v>0</v>
      </c>
    </row>
    <row r="882" spans="1:19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 s="6">
        <v>934.8</v>
      </c>
      <c r="O882">
        <v>2025</v>
      </c>
      <c r="P882" s="3" t="s">
        <v>4297</v>
      </c>
      <c r="Q882">
        <v>1</v>
      </c>
      <c r="R882" t="str">
        <f>IF(Table1_2[[#This Row],[Total Price]]&gt;3330.41,"OUTLIER","NORMAL")</f>
        <v>NORMAL</v>
      </c>
      <c r="S882" s="5">
        <v>0</v>
      </c>
    </row>
    <row r="883" spans="1:19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4293</v>
      </c>
      <c r="M883" s="3" t="s">
        <v>4278</v>
      </c>
      <c r="N883" s="6">
        <v>897.7</v>
      </c>
      <c r="O883">
        <v>2023</v>
      </c>
      <c r="P883" s="3" t="s">
        <v>4287</v>
      </c>
      <c r="Q883">
        <v>1</v>
      </c>
      <c r="R883" t="str">
        <f>IF(Table1_2[[#This Row],[Total Price]]&gt;3330.41,"OUTLIER","NORMAL")</f>
        <v>NORMAL</v>
      </c>
      <c r="S883" s="5">
        <v>0</v>
      </c>
    </row>
    <row r="884" spans="1:19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 s="6">
        <v>548.24</v>
      </c>
      <c r="O884">
        <v>2025</v>
      </c>
      <c r="P884" s="3" t="s">
        <v>4292</v>
      </c>
      <c r="Q884">
        <v>2</v>
      </c>
      <c r="R884" t="str">
        <f>IF(Table1_2[[#This Row],[Total Price]]&gt;3330.41,"OUTLIER","NORMAL")</f>
        <v>NORMAL</v>
      </c>
      <c r="S884" s="5">
        <v>0</v>
      </c>
    </row>
    <row r="885" spans="1:19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 s="6">
        <v>2807.4</v>
      </c>
      <c r="O885">
        <v>2025</v>
      </c>
      <c r="P885" s="3" t="s">
        <v>4291</v>
      </c>
      <c r="Q885">
        <v>2</v>
      </c>
      <c r="R885" t="str">
        <f>IF(Table1_2[[#This Row],[Total Price]]&gt;3330.41,"OUTLIER","NORMAL")</f>
        <v>NORMAL</v>
      </c>
      <c r="S885" s="5">
        <v>0</v>
      </c>
    </row>
    <row r="886" spans="1:19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4293</v>
      </c>
      <c r="M886" s="3" t="s">
        <v>4278</v>
      </c>
      <c r="N886" s="6">
        <v>595.54</v>
      </c>
      <c r="O886">
        <v>2024</v>
      </c>
      <c r="P886" s="3" t="s">
        <v>4291</v>
      </c>
      <c r="Q886">
        <v>2</v>
      </c>
      <c r="R886" t="str">
        <f>IF(Table1_2[[#This Row],[Total Price]]&gt;3330.41,"OUTLIER","NORMAL")</f>
        <v>NORMAL</v>
      </c>
      <c r="S886" s="5">
        <v>0</v>
      </c>
    </row>
    <row r="887" spans="1:19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 s="6">
        <v>2062.36</v>
      </c>
      <c r="O887">
        <v>2024</v>
      </c>
      <c r="P887" s="3" t="s">
        <v>4294</v>
      </c>
      <c r="Q887">
        <v>2</v>
      </c>
      <c r="R887" t="str">
        <f>IF(Table1_2[[#This Row],[Total Price]]&gt;3330.41,"OUTLIER","NORMAL")</f>
        <v>NORMAL</v>
      </c>
      <c r="S887" s="5">
        <v>0</v>
      </c>
    </row>
    <row r="888" spans="1:19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4293</v>
      </c>
      <c r="M888" s="3" t="s">
        <v>4282</v>
      </c>
      <c r="N888" s="6">
        <v>460.13</v>
      </c>
      <c r="O888">
        <v>2023</v>
      </c>
      <c r="P888" s="3" t="s">
        <v>4290</v>
      </c>
      <c r="Q888">
        <v>4</v>
      </c>
      <c r="R888" t="str">
        <f>IF(Table1_2[[#This Row],[Total Price]]&gt;3330.41,"OUTLIER","NORMAL")</f>
        <v>NORMAL</v>
      </c>
      <c r="S888" s="5">
        <v>0</v>
      </c>
    </row>
    <row r="889" spans="1:19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4293</v>
      </c>
      <c r="M889" s="3" t="s">
        <v>4282</v>
      </c>
      <c r="N889" s="6">
        <v>514.98</v>
      </c>
      <c r="O889">
        <v>2024</v>
      </c>
      <c r="P889" s="3" t="s">
        <v>4296</v>
      </c>
      <c r="Q889">
        <v>4</v>
      </c>
      <c r="R889" t="str">
        <f>IF(Table1_2[[#This Row],[Total Price]]&gt;3330.41,"OUTLIER","NORMAL")</f>
        <v>NORMAL</v>
      </c>
      <c r="S889" s="5">
        <v>0</v>
      </c>
    </row>
    <row r="890" spans="1:19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4293</v>
      </c>
      <c r="M890" s="3" t="s">
        <v>4278</v>
      </c>
      <c r="N890" s="6">
        <v>533.9</v>
      </c>
      <c r="O890">
        <v>2024</v>
      </c>
      <c r="P890" s="3" t="s">
        <v>4298</v>
      </c>
      <c r="Q890">
        <v>3</v>
      </c>
      <c r="R890" t="str">
        <f>IF(Table1_2[[#This Row],[Total Price]]&gt;3330.41,"OUTLIER","NORMAL")</f>
        <v>NORMAL</v>
      </c>
      <c r="S890" s="5">
        <v>0</v>
      </c>
    </row>
    <row r="891" spans="1:19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 s="6">
        <v>3253.6</v>
      </c>
      <c r="O891">
        <v>2024</v>
      </c>
      <c r="P891" s="3" t="s">
        <v>4290</v>
      </c>
      <c r="Q891">
        <v>4</v>
      </c>
      <c r="R891" t="str">
        <f>IF(Table1_2[[#This Row],[Total Price]]&gt;3330.41,"OUTLIER","NORMAL")</f>
        <v>NORMAL</v>
      </c>
      <c r="S891" s="5">
        <v>0</v>
      </c>
    </row>
    <row r="892" spans="1:19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4293</v>
      </c>
      <c r="M892" s="3" t="s">
        <v>4282</v>
      </c>
      <c r="N892" s="6">
        <v>1318.59</v>
      </c>
      <c r="O892">
        <v>2023</v>
      </c>
      <c r="P892" s="3" t="s">
        <v>4288</v>
      </c>
      <c r="Q892">
        <v>3</v>
      </c>
      <c r="R892" t="str">
        <f>IF(Table1_2[[#This Row],[Total Price]]&gt;3330.41,"OUTLIER","NORMAL")</f>
        <v>NORMAL</v>
      </c>
      <c r="S892" s="5">
        <v>0</v>
      </c>
    </row>
    <row r="893" spans="1:19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 s="6">
        <v>1963.62</v>
      </c>
      <c r="O893">
        <v>2023</v>
      </c>
      <c r="P893" s="3" t="s">
        <v>4295</v>
      </c>
      <c r="Q893">
        <v>4</v>
      </c>
      <c r="R893" t="str">
        <f>IF(Table1_2[[#This Row],[Total Price]]&gt;3330.41,"OUTLIER","NORMAL")</f>
        <v>NORMAL</v>
      </c>
      <c r="S893" s="5">
        <v>0</v>
      </c>
    </row>
    <row r="894" spans="1:19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 s="6">
        <v>394.53</v>
      </c>
      <c r="O894">
        <v>2024</v>
      </c>
      <c r="P894" s="3" t="s">
        <v>4292</v>
      </c>
      <c r="Q894">
        <v>2</v>
      </c>
      <c r="R894" t="str">
        <f>IF(Table1_2[[#This Row],[Total Price]]&gt;3330.41,"OUTLIER","NORMAL")</f>
        <v>NORMAL</v>
      </c>
      <c r="S894" s="5">
        <v>0</v>
      </c>
    </row>
    <row r="895" spans="1:19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 s="6">
        <v>678.01</v>
      </c>
      <c r="O895">
        <v>2023</v>
      </c>
      <c r="P895" s="3" t="s">
        <v>4297</v>
      </c>
      <c r="Q895">
        <v>1</v>
      </c>
      <c r="R895" t="str">
        <f>IF(Table1_2[[#This Row],[Total Price]]&gt;3330.41,"OUTLIER","NORMAL")</f>
        <v>NORMAL</v>
      </c>
      <c r="S895" s="5">
        <v>0</v>
      </c>
    </row>
    <row r="896" spans="1:19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 s="6">
        <v>1725.03</v>
      </c>
      <c r="O896">
        <v>2023</v>
      </c>
      <c r="P896" s="3" t="s">
        <v>4291</v>
      </c>
      <c r="Q896">
        <v>2</v>
      </c>
      <c r="R896" t="str">
        <f>IF(Table1_2[[#This Row],[Total Price]]&gt;3330.41,"OUTLIER","NORMAL")</f>
        <v>NORMAL</v>
      </c>
      <c r="S896" s="5">
        <v>0</v>
      </c>
    </row>
    <row r="897" spans="1:19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 s="6">
        <v>463.92</v>
      </c>
      <c r="O897">
        <v>2023</v>
      </c>
      <c r="P897" s="3" t="s">
        <v>4295</v>
      </c>
      <c r="Q897">
        <v>4</v>
      </c>
      <c r="R897" t="str">
        <f>IF(Table1_2[[#This Row],[Total Price]]&gt;3330.41,"OUTLIER","NORMAL")</f>
        <v>NORMAL</v>
      </c>
      <c r="S897" s="5">
        <v>0</v>
      </c>
    </row>
    <row r="898" spans="1:19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 s="6">
        <v>441.87</v>
      </c>
      <c r="O898">
        <v>2024</v>
      </c>
      <c r="P898" s="3" t="s">
        <v>4290</v>
      </c>
      <c r="Q898">
        <v>4</v>
      </c>
      <c r="R898" t="str">
        <f>IF(Table1_2[[#This Row],[Total Price]]&gt;3330.41,"OUTLIER","NORMAL")</f>
        <v>NORMAL</v>
      </c>
      <c r="S898" s="5">
        <v>0</v>
      </c>
    </row>
    <row r="899" spans="1:19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 s="6">
        <v>1925.92</v>
      </c>
      <c r="O899">
        <v>2024</v>
      </c>
      <c r="P899" s="3" t="s">
        <v>4299</v>
      </c>
      <c r="Q899">
        <v>3</v>
      </c>
      <c r="R899" t="str">
        <f>IF(Table1_2[[#This Row],[Total Price]]&gt;3330.41,"OUTLIER","NORMAL")</f>
        <v>NORMAL</v>
      </c>
      <c r="S899" s="5">
        <v>0</v>
      </c>
    </row>
    <row r="900" spans="1:19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4293</v>
      </c>
      <c r="M900" s="3" t="s">
        <v>4279</v>
      </c>
      <c r="N900" s="6">
        <v>475.11</v>
      </c>
      <c r="O900">
        <v>2025</v>
      </c>
      <c r="P900" s="3" t="s">
        <v>4297</v>
      </c>
      <c r="Q900">
        <v>1</v>
      </c>
      <c r="R900" t="str">
        <f>IF(Table1_2[[#This Row],[Total Price]]&gt;3330.41,"OUTLIER","NORMAL")</f>
        <v>NORMAL</v>
      </c>
      <c r="S900" s="5">
        <v>0</v>
      </c>
    </row>
    <row r="901" spans="1:19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 s="6">
        <v>646.74</v>
      </c>
      <c r="O901">
        <v>2025</v>
      </c>
      <c r="P901" s="3" t="s">
        <v>4294</v>
      </c>
      <c r="Q901">
        <v>2</v>
      </c>
      <c r="R901" t="str">
        <f>IF(Table1_2[[#This Row],[Total Price]]&gt;3330.41,"OUTLIER","NORMAL")</f>
        <v>NORMAL</v>
      </c>
      <c r="S901" s="5">
        <v>0</v>
      </c>
    </row>
    <row r="902" spans="1:19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4293</v>
      </c>
      <c r="M902" s="3" t="s">
        <v>4278</v>
      </c>
      <c r="N902" s="6">
        <v>369.15</v>
      </c>
      <c r="O902">
        <v>2025</v>
      </c>
      <c r="P902" s="3" t="s">
        <v>4289</v>
      </c>
      <c r="Q902">
        <v>1</v>
      </c>
      <c r="R902" t="str">
        <f>IF(Table1_2[[#This Row],[Total Price]]&gt;3330.41,"OUTLIER","NORMAL")</f>
        <v>NORMAL</v>
      </c>
      <c r="S902" s="5">
        <v>0</v>
      </c>
    </row>
    <row r="903" spans="1:19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 s="6">
        <v>458.63</v>
      </c>
      <c r="O903">
        <v>2024</v>
      </c>
      <c r="P903" s="3" t="s">
        <v>4294</v>
      </c>
      <c r="Q903">
        <v>2</v>
      </c>
      <c r="R903" t="str">
        <f>IF(Table1_2[[#This Row],[Total Price]]&gt;3330.41,"OUTLIER","NORMAL")</f>
        <v>NORMAL</v>
      </c>
      <c r="S903" s="5">
        <v>0</v>
      </c>
    </row>
    <row r="904" spans="1:19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4293</v>
      </c>
      <c r="M904" s="3" t="s">
        <v>4281</v>
      </c>
      <c r="N904" s="6">
        <v>721</v>
      </c>
      <c r="O904">
        <v>2024</v>
      </c>
      <c r="P904" s="3" t="s">
        <v>4298</v>
      </c>
      <c r="Q904">
        <v>3</v>
      </c>
      <c r="R904" t="str">
        <f>IF(Table1_2[[#This Row],[Total Price]]&gt;3330.41,"OUTLIER","NORMAL")</f>
        <v>NORMAL</v>
      </c>
      <c r="S904" s="5">
        <v>0</v>
      </c>
    </row>
    <row r="905" spans="1:19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4293</v>
      </c>
      <c r="M905" s="3" t="s">
        <v>4280</v>
      </c>
      <c r="N905" s="6">
        <v>1420.47</v>
      </c>
      <c r="O905">
        <v>2023</v>
      </c>
      <c r="P905" s="3" t="s">
        <v>4291</v>
      </c>
      <c r="Q905">
        <v>2</v>
      </c>
      <c r="R905" t="str">
        <f>IF(Table1_2[[#This Row],[Total Price]]&gt;3330.41,"OUTLIER","NORMAL")</f>
        <v>NORMAL</v>
      </c>
      <c r="S905" s="5">
        <v>0</v>
      </c>
    </row>
    <row r="906" spans="1:19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 s="6">
        <v>949.72</v>
      </c>
      <c r="O906">
        <v>2025</v>
      </c>
      <c r="P906" s="3" t="s">
        <v>4289</v>
      </c>
      <c r="Q906">
        <v>1</v>
      </c>
      <c r="R906" t="str">
        <f>IF(Table1_2[[#This Row],[Total Price]]&gt;3330.41,"OUTLIER","NORMAL")</f>
        <v>NORMAL</v>
      </c>
      <c r="S906" s="5">
        <v>0</v>
      </c>
    </row>
    <row r="907" spans="1:19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 s="6">
        <v>442.39</v>
      </c>
      <c r="O907">
        <v>2023</v>
      </c>
      <c r="P907" s="3" t="s">
        <v>4295</v>
      </c>
      <c r="Q907">
        <v>4</v>
      </c>
      <c r="R907" t="str">
        <f>IF(Table1_2[[#This Row],[Total Price]]&gt;3330.41,"OUTLIER","NORMAL")</f>
        <v>NORMAL</v>
      </c>
      <c r="S907" s="5">
        <v>0</v>
      </c>
    </row>
    <row r="908" spans="1:19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4293</v>
      </c>
      <c r="M908" s="3" t="s">
        <v>4280</v>
      </c>
      <c r="N908" s="6">
        <v>62.12</v>
      </c>
      <c r="O908">
        <v>2024</v>
      </c>
      <c r="P908" s="3" t="s">
        <v>4299</v>
      </c>
      <c r="Q908">
        <v>3</v>
      </c>
      <c r="R908" t="str">
        <f>IF(Table1_2[[#This Row],[Total Price]]&gt;3330.41,"OUTLIER","NORMAL")</f>
        <v>NORMAL</v>
      </c>
      <c r="S908" s="5">
        <v>0</v>
      </c>
    </row>
    <row r="909" spans="1:19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 s="6">
        <v>1491.95</v>
      </c>
      <c r="O909">
        <v>2024</v>
      </c>
      <c r="P909" s="3" t="s">
        <v>4288</v>
      </c>
      <c r="Q909">
        <v>3</v>
      </c>
      <c r="R909" t="str">
        <f>IF(Table1_2[[#This Row],[Total Price]]&gt;3330.41,"OUTLIER","NORMAL")</f>
        <v>NORMAL</v>
      </c>
      <c r="S909" s="5">
        <v>0</v>
      </c>
    </row>
    <row r="910" spans="1:19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 s="6">
        <v>1395.86</v>
      </c>
      <c r="O910">
        <v>2025</v>
      </c>
      <c r="P910" s="3" t="s">
        <v>4291</v>
      </c>
      <c r="Q910">
        <v>2</v>
      </c>
      <c r="R910" t="str">
        <f>IF(Table1_2[[#This Row],[Total Price]]&gt;3330.41,"OUTLIER","NORMAL")</f>
        <v>NORMAL</v>
      </c>
      <c r="S910" s="5">
        <v>0</v>
      </c>
    </row>
    <row r="911" spans="1:19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 s="6">
        <v>583.70000000000005</v>
      </c>
      <c r="O911">
        <v>2024</v>
      </c>
      <c r="P911" s="3" t="s">
        <v>4291</v>
      </c>
      <c r="Q911">
        <v>2</v>
      </c>
      <c r="R911" t="str">
        <f>IF(Table1_2[[#This Row],[Total Price]]&gt;3330.41,"OUTLIER","NORMAL")</f>
        <v>NORMAL</v>
      </c>
      <c r="S911" s="5">
        <v>0</v>
      </c>
    </row>
    <row r="912" spans="1:19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 s="6">
        <v>926.94</v>
      </c>
      <c r="O912">
        <v>2024</v>
      </c>
      <c r="P912" s="3" t="s">
        <v>4291</v>
      </c>
      <c r="Q912">
        <v>2</v>
      </c>
      <c r="R912" t="str">
        <f>IF(Table1_2[[#This Row],[Total Price]]&gt;3330.41,"OUTLIER","NORMAL")</f>
        <v>NORMAL</v>
      </c>
      <c r="S912" s="5">
        <v>0</v>
      </c>
    </row>
    <row r="913" spans="1:19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 s="6">
        <v>1984.3</v>
      </c>
      <c r="O913">
        <v>2024</v>
      </c>
      <c r="P913" s="3" t="s">
        <v>4288</v>
      </c>
      <c r="Q913">
        <v>3</v>
      </c>
      <c r="R913" t="str">
        <f>IF(Table1_2[[#This Row],[Total Price]]&gt;3330.41,"OUTLIER","NORMAL")</f>
        <v>NORMAL</v>
      </c>
      <c r="S913" s="5">
        <v>0</v>
      </c>
    </row>
    <row r="914" spans="1:19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 s="6">
        <v>279.38</v>
      </c>
      <c r="O914">
        <v>2024</v>
      </c>
      <c r="P914" s="3" t="s">
        <v>4287</v>
      </c>
      <c r="Q914">
        <v>1</v>
      </c>
      <c r="R914" t="str">
        <f>IF(Table1_2[[#This Row],[Total Price]]&gt;3330.41,"OUTLIER","NORMAL")</f>
        <v>NORMAL</v>
      </c>
      <c r="S914" s="5">
        <v>0</v>
      </c>
    </row>
    <row r="915" spans="1:19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 s="6">
        <v>2379.75</v>
      </c>
      <c r="O915">
        <v>2023</v>
      </c>
      <c r="P915" s="3" t="s">
        <v>4289</v>
      </c>
      <c r="Q915">
        <v>1</v>
      </c>
      <c r="R915" t="str">
        <f>IF(Table1_2[[#This Row],[Total Price]]&gt;3330.41,"OUTLIER","NORMAL")</f>
        <v>NORMAL</v>
      </c>
      <c r="S915" s="5">
        <v>0</v>
      </c>
    </row>
    <row r="916" spans="1:19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 s="6">
        <v>626.6</v>
      </c>
      <c r="O916">
        <v>2025</v>
      </c>
      <c r="P916" s="3" t="s">
        <v>4289</v>
      </c>
      <c r="Q916">
        <v>1</v>
      </c>
      <c r="R916" t="str">
        <f>IF(Table1_2[[#This Row],[Total Price]]&gt;3330.41,"OUTLIER","NORMAL")</f>
        <v>NORMAL</v>
      </c>
      <c r="S916" s="5">
        <v>0</v>
      </c>
    </row>
    <row r="917" spans="1:19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 s="6">
        <v>2011.96</v>
      </c>
      <c r="O917">
        <v>2024</v>
      </c>
      <c r="P917" s="3" t="s">
        <v>4289</v>
      </c>
      <c r="Q917">
        <v>1</v>
      </c>
      <c r="R917" t="str">
        <f>IF(Table1_2[[#This Row],[Total Price]]&gt;3330.41,"OUTLIER","NORMAL")</f>
        <v>NORMAL</v>
      </c>
      <c r="S917" s="5">
        <v>0</v>
      </c>
    </row>
    <row r="918" spans="1:19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4293</v>
      </c>
      <c r="M918" s="3" t="s">
        <v>4279</v>
      </c>
      <c r="N918" s="6">
        <v>2894.15</v>
      </c>
      <c r="O918">
        <v>2024</v>
      </c>
      <c r="P918" s="3" t="s">
        <v>4292</v>
      </c>
      <c r="Q918">
        <v>2</v>
      </c>
      <c r="R918" t="str">
        <f>IF(Table1_2[[#This Row],[Total Price]]&gt;3330.41,"OUTLIER","NORMAL")</f>
        <v>NORMAL</v>
      </c>
      <c r="S918" s="5">
        <v>0</v>
      </c>
    </row>
    <row r="919" spans="1:19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 s="6">
        <v>1919.1</v>
      </c>
      <c r="O919">
        <v>2025</v>
      </c>
      <c r="P919" s="3" t="s">
        <v>4287</v>
      </c>
      <c r="Q919">
        <v>1</v>
      </c>
      <c r="R919" t="str">
        <f>IF(Table1_2[[#This Row],[Total Price]]&gt;3330.41,"OUTLIER","NORMAL")</f>
        <v>NORMAL</v>
      </c>
      <c r="S919" s="5">
        <v>0</v>
      </c>
    </row>
    <row r="920" spans="1:19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4293</v>
      </c>
      <c r="M920" s="3" t="s">
        <v>4278</v>
      </c>
      <c r="N920" s="6">
        <v>1841.25</v>
      </c>
      <c r="O920">
        <v>2025</v>
      </c>
      <c r="P920" s="3" t="s">
        <v>4292</v>
      </c>
      <c r="Q920">
        <v>2</v>
      </c>
      <c r="R920" t="str">
        <f>IF(Table1_2[[#This Row],[Total Price]]&gt;3330.41,"OUTLIER","NORMAL")</f>
        <v>NORMAL</v>
      </c>
      <c r="S920" s="5">
        <v>0</v>
      </c>
    </row>
    <row r="921" spans="1:19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 s="6">
        <v>749.2</v>
      </c>
      <c r="O921">
        <v>2025</v>
      </c>
      <c r="P921" s="3" t="s">
        <v>4289</v>
      </c>
      <c r="Q921">
        <v>1</v>
      </c>
      <c r="R921" t="str">
        <f>IF(Table1_2[[#This Row],[Total Price]]&gt;3330.41,"OUTLIER","NORMAL")</f>
        <v>NORMAL</v>
      </c>
      <c r="S921" s="5">
        <v>0</v>
      </c>
    </row>
    <row r="922" spans="1:19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4293</v>
      </c>
      <c r="M922" s="3" t="s">
        <v>4278</v>
      </c>
      <c r="N922" s="6">
        <v>856.18</v>
      </c>
      <c r="O922">
        <v>2025</v>
      </c>
      <c r="P922" s="3" t="s">
        <v>4297</v>
      </c>
      <c r="Q922">
        <v>1</v>
      </c>
      <c r="R922" t="str">
        <f>IF(Table1_2[[#This Row],[Total Price]]&gt;3330.41,"OUTLIER","NORMAL")</f>
        <v>NORMAL</v>
      </c>
      <c r="S922" s="5">
        <v>0</v>
      </c>
    </row>
    <row r="923" spans="1:19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 s="6">
        <v>438.93</v>
      </c>
      <c r="O923">
        <v>2023</v>
      </c>
      <c r="P923" s="3" t="s">
        <v>4298</v>
      </c>
      <c r="Q923">
        <v>3</v>
      </c>
      <c r="R923" t="str">
        <f>IF(Table1_2[[#This Row],[Total Price]]&gt;3330.41,"OUTLIER","NORMAL")</f>
        <v>NORMAL</v>
      </c>
      <c r="S923" s="5">
        <v>0</v>
      </c>
    </row>
    <row r="924" spans="1:19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4293</v>
      </c>
      <c r="M924" s="3" t="s">
        <v>4278</v>
      </c>
      <c r="N924" s="6">
        <v>1127.6400000000001</v>
      </c>
      <c r="O924">
        <v>2024</v>
      </c>
      <c r="P924" s="3" t="s">
        <v>4292</v>
      </c>
      <c r="Q924">
        <v>2</v>
      </c>
      <c r="R924" t="str">
        <f>IF(Table1_2[[#This Row],[Total Price]]&gt;3330.41,"OUTLIER","NORMAL")</f>
        <v>NORMAL</v>
      </c>
      <c r="S924" s="5">
        <v>0</v>
      </c>
    </row>
    <row r="925" spans="1:19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 s="6">
        <v>1949.79</v>
      </c>
      <c r="O925">
        <v>2023</v>
      </c>
      <c r="P925" s="3" t="s">
        <v>4289</v>
      </c>
      <c r="Q925">
        <v>1</v>
      </c>
      <c r="R925" t="str">
        <f>IF(Table1_2[[#This Row],[Total Price]]&gt;3330.41,"OUTLIER","NORMAL")</f>
        <v>NORMAL</v>
      </c>
      <c r="S925" s="5">
        <v>0</v>
      </c>
    </row>
    <row r="926" spans="1:19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 s="6">
        <v>1342.15</v>
      </c>
      <c r="O926">
        <v>2025</v>
      </c>
      <c r="P926" s="3" t="s">
        <v>4297</v>
      </c>
      <c r="Q926">
        <v>1</v>
      </c>
      <c r="R926" t="str">
        <f>IF(Table1_2[[#This Row],[Total Price]]&gt;3330.41,"OUTLIER","NORMAL")</f>
        <v>NORMAL</v>
      </c>
      <c r="S926" s="5">
        <v>0</v>
      </c>
    </row>
    <row r="927" spans="1:19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 s="6">
        <v>2512.35</v>
      </c>
      <c r="O927">
        <v>2024</v>
      </c>
      <c r="P927" s="3" t="s">
        <v>4296</v>
      </c>
      <c r="Q927">
        <v>4</v>
      </c>
      <c r="R927" t="str">
        <f>IF(Table1_2[[#This Row],[Total Price]]&gt;3330.41,"OUTLIER","NORMAL")</f>
        <v>NORMAL</v>
      </c>
      <c r="S927" s="5">
        <v>0</v>
      </c>
    </row>
    <row r="928" spans="1:19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 s="6">
        <v>26.95</v>
      </c>
      <c r="O928">
        <v>2024</v>
      </c>
      <c r="P928" s="3" t="s">
        <v>4297</v>
      </c>
      <c r="Q928">
        <v>1</v>
      </c>
      <c r="R928" t="str">
        <f>IF(Table1_2[[#This Row],[Total Price]]&gt;3330.41,"OUTLIER","NORMAL")</f>
        <v>NORMAL</v>
      </c>
      <c r="S928" s="5">
        <v>0</v>
      </c>
    </row>
    <row r="929" spans="1:19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 s="6">
        <v>258.76</v>
      </c>
      <c r="O929">
        <v>2023</v>
      </c>
      <c r="P929" s="3" t="s">
        <v>4289</v>
      </c>
      <c r="Q929">
        <v>1</v>
      </c>
      <c r="R929" t="str">
        <f>IF(Table1_2[[#This Row],[Total Price]]&gt;3330.41,"OUTLIER","NORMAL")</f>
        <v>NORMAL</v>
      </c>
      <c r="S929" s="5">
        <v>0</v>
      </c>
    </row>
    <row r="930" spans="1:19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 s="6">
        <v>741.33</v>
      </c>
      <c r="O930">
        <v>2024</v>
      </c>
      <c r="P930" s="3" t="s">
        <v>4291</v>
      </c>
      <c r="Q930">
        <v>2</v>
      </c>
      <c r="R930" t="str">
        <f>IF(Table1_2[[#This Row],[Total Price]]&gt;3330.41,"OUTLIER","NORMAL")</f>
        <v>NORMAL</v>
      </c>
      <c r="S930" s="5">
        <v>0</v>
      </c>
    </row>
    <row r="931" spans="1:19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4293</v>
      </c>
      <c r="M931" s="3" t="s">
        <v>4280</v>
      </c>
      <c r="N931" s="6">
        <v>1072.5</v>
      </c>
      <c r="O931">
        <v>2024</v>
      </c>
      <c r="P931" s="3" t="s">
        <v>4290</v>
      </c>
      <c r="Q931">
        <v>4</v>
      </c>
      <c r="R931" t="str">
        <f>IF(Table1_2[[#This Row],[Total Price]]&gt;3330.41,"OUTLIER","NORMAL")</f>
        <v>NORMAL</v>
      </c>
      <c r="S931" s="5">
        <v>0</v>
      </c>
    </row>
    <row r="932" spans="1:19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 s="6">
        <v>912.08</v>
      </c>
      <c r="O932">
        <v>2024</v>
      </c>
      <c r="P932" s="3" t="s">
        <v>4296</v>
      </c>
      <c r="Q932">
        <v>4</v>
      </c>
      <c r="R932" t="str">
        <f>IF(Table1_2[[#This Row],[Total Price]]&gt;3330.41,"OUTLIER","NORMAL")</f>
        <v>NORMAL</v>
      </c>
      <c r="S932" s="5">
        <v>0</v>
      </c>
    </row>
    <row r="933" spans="1:19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 s="6">
        <v>80.459999999999994</v>
      </c>
      <c r="O933">
        <v>2024</v>
      </c>
      <c r="P933" s="3" t="s">
        <v>4287</v>
      </c>
      <c r="Q933">
        <v>1</v>
      </c>
      <c r="R933" t="str">
        <f>IF(Table1_2[[#This Row],[Total Price]]&gt;3330.41,"OUTLIER","NORMAL")</f>
        <v>NORMAL</v>
      </c>
      <c r="S933" s="5">
        <v>0</v>
      </c>
    </row>
    <row r="934" spans="1:19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 s="6">
        <v>144.78</v>
      </c>
      <c r="O934">
        <v>2023</v>
      </c>
      <c r="P934" s="3" t="s">
        <v>4297</v>
      </c>
      <c r="Q934">
        <v>1</v>
      </c>
      <c r="R934" t="str">
        <f>IF(Table1_2[[#This Row],[Total Price]]&gt;3330.41,"OUTLIER","NORMAL")</f>
        <v>NORMAL</v>
      </c>
      <c r="S934" s="5">
        <v>0</v>
      </c>
    </row>
    <row r="935" spans="1:19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4293</v>
      </c>
      <c r="M935" s="3" t="s">
        <v>4279</v>
      </c>
      <c r="N935" s="6">
        <v>788.32</v>
      </c>
      <c r="O935">
        <v>2023</v>
      </c>
      <c r="P935" s="3" t="s">
        <v>4287</v>
      </c>
      <c r="Q935">
        <v>1</v>
      </c>
      <c r="R935" t="str">
        <f>IF(Table1_2[[#This Row],[Total Price]]&gt;3330.41,"OUTLIER","NORMAL")</f>
        <v>NORMAL</v>
      </c>
      <c r="S935" s="5">
        <v>0</v>
      </c>
    </row>
    <row r="936" spans="1:19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 s="6">
        <v>479.36</v>
      </c>
      <c r="O936">
        <v>2025</v>
      </c>
      <c r="P936" s="3" t="s">
        <v>4292</v>
      </c>
      <c r="Q936">
        <v>2</v>
      </c>
      <c r="R936" t="str">
        <f>IF(Table1_2[[#This Row],[Total Price]]&gt;3330.41,"OUTLIER","NORMAL")</f>
        <v>NORMAL</v>
      </c>
      <c r="S936" s="5">
        <v>0</v>
      </c>
    </row>
    <row r="937" spans="1:19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 s="6">
        <v>2078.13</v>
      </c>
      <c r="O937">
        <v>2023</v>
      </c>
      <c r="P937" s="3" t="s">
        <v>4295</v>
      </c>
      <c r="Q937">
        <v>4</v>
      </c>
      <c r="R937" t="str">
        <f>IF(Table1_2[[#This Row],[Total Price]]&gt;3330.41,"OUTLIER","NORMAL")</f>
        <v>NORMAL</v>
      </c>
      <c r="S937" s="5">
        <v>0</v>
      </c>
    </row>
    <row r="938" spans="1:19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 s="6">
        <v>226.64</v>
      </c>
      <c r="O938">
        <v>2024</v>
      </c>
      <c r="P938" s="3" t="s">
        <v>4287</v>
      </c>
      <c r="Q938">
        <v>1</v>
      </c>
      <c r="R938" t="str">
        <f>IF(Table1_2[[#This Row],[Total Price]]&gt;3330.41,"OUTLIER","NORMAL")</f>
        <v>NORMAL</v>
      </c>
      <c r="S938" s="5">
        <v>0</v>
      </c>
    </row>
    <row r="939" spans="1:19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 s="6">
        <v>597.05999999999995</v>
      </c>
      <c r="O939">
        <v>2024</v>
      </c>
      <c r="P939" s="3" t="s">
        <v>4287</v>
      </c>
      <c r="Q939">
        <v>1</v>
      </c>
      <c r="R939" t="str">
        <f>IF(Table1_2[[#This Row],[Total Price]]&gt;3330.41,"OUTLIER","NORMAL")</f>
        <v>NORMAL</v>
      </c>
      <c r="S939" s="5">
        <v>0</v>
      </c>
    </row>
    <row r="940" spans="1:19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 s="6">
        <v>994.37999999999988</v>
      </c>
      <c r="O940">
        <v>2023</v>
      </c>
      <c r="P940" s="3" t="s">
        <v>4298</v>
      </c>
      <c r="Q940">
        <v>3</v>
      </c>
      <c r="R940" t="str">
        <f>IF(Table1_2[[#This Row],[Total Price]]&gt;3330.41,"OUTLIER","NORMAL")</f>
        <v>NORMAL</v>
      </c>
      <c r="S940" s="5">
        <v>0</v>
      </c>
    </row>
    <row r="941" spans="1:19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 s="6">
        <v>1042.8</v>
      </c>
      <c r="O941">
        <v>2025</v>
      </c>
      <c r="P941" s="3" t="s">
        <v>4294</v>
      </c>
      <c r="Q941">
        <v>2</v>
      </c>
      <c r="R941" t="str">
        <f>IF(Table1_2[[#This Row],[Total Price]]&gt;3330.41,"OUTLIER","NORMAL")</f>
        <v>NORMAL</v>
      </c>
      <c r="S941" s="5">
        <v>0</v>
      </c>
    </row>
    <row r="942" spans="1:19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 s="6">
        <v>1221.28</v>
      </c>
      <c r="O942">
        <v>2023</v>
      </c>
      <c r="P942" s="3" t="s">
        <v>4297</v>
      </c>
      <c r="Q942">
        <v>1</v>
      </c>
      <c r="R942" t="str">
        <f>IF(Table1_2[[#This Row],[Total Price]]&gt;3330.41,"OUTLIER","NORMAL")</f>
        <v>NORMAL</v>
      </c>
      <c r="S942" s="5">
        <v>0</v>
      </c>
    </row>
    <row r="943" spans="1:19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 s="6">
        <v>558.5</v>
      </c>
      <c r="O943">
        <v>2023</v>
      </c>
      <c r="P943" s="3" t="s">
        <v>4298</v>
      </c>
      <c r="Q943">
        <v>3</v>
      </c>
      <c r="R943" t="str">
        <f>IF(Table1_2[[#This Row],[Total Price]]&gt;3330.41,"OUTLIER","NORMAL")</f>
        <v>NORMAL</v>
      </c>
      <c r="S943" s="5">
        <v>0</v>
      </c>
    </row>
    <row r="944" spans="1:19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4293</v>
      </c>
      <c r="M944" s="3" t="s">
        <v>4280</v>
      </c>
      <c r="N944" s="6">
        <v>479.76</v>
      </c>
      <c r="O944">
        <v>2023</v>
      </c>
      <c r="P944" s="3" t="s">
        <v>4299</v>
      </c>
      <c r="Q944">
        <v>3</v>
      </c>
      <c r="R944" t="str">
        <f>IF(Table1_2[[#This Row],[Total Price]]&gt;3330.41,"OUTLIER","NORMAL")</f>
        <v>NORMAL</v>
      </c>
      <c r="S944" s="5">
        <v>0</v>
      </c>
    </row>
    <row r="945" spans="1:19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 s="6">
        <v>580.47</v>
      </c>
      <c r="O945">
        <v>2023</v>
      </c>
      <c r="P945" s="3" t="s">
        <v>4296</v>
      </c>
      <c r="Q945">
        <v>4</v>
      </c>
      <c r="R945" t="str">
        <f>IF(Table1_2[[#This Row],[Total Price]]&gt;3330.41,"OUTLIER","NORMAL")</f>
        <v>NORMAL</v>
      </c>
      <c r="S945" s="5">
        <v>0</v>
      </c>
    </row>
    <row r="946" spans="1:19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 s="6">
        <v>852.44</v>
      </c>
      <c r="O946">
        <v>2024</v>
      </c>
      <c r="P946" s="3" t="s">
        <v>4296</v>
      </c>
      <c r="Q946">
        <v>4</v>
      </c>
      <c r="R946" t="str">
        <f>IF(Table1_2[[#This Row],[Total Price]]&gt;3330.41,"OUTLIER","NORMAL")</f>
        <v>NORMAL</v>
      </c>
      <c r="S946" s="5">
        <v>0</v>
      </c>
    </row>
    <row r="947" spans="1:19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 s="6">
        <v>1382.2</v>
      </c>
      <c r="O947">
        <v>2023</v>
      </c>
      <c r="P947" s="3" t="s">
        <v>4288</v>
      </c>
      <c r="Q947">
        <v>3</v>
      </c>
      <c r="R947" t="str">
        <f>IF(Table1_2[[#This Row],[Total Price]]&gt;3330.41,"OUTLIER","NORMAL")</f>
        <v>NORMAL</v>
      </c>
      <c r="S947" s="5">
        <v>0</v>
      </c>
    </row>
    <row r="948" spans="1:19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 s="6">
        <v>809.92</v>
      </c>
      <c r="O948">
        <v>2024</v>
      </c>
      <c r="P948" s="3" t="s">
        <v>4291</v>
      </c>
      <c r="Q948">
        <v>2</v>
      </c>
      <c r="R948" t="str">
        <f>IF(Table1_2[[#This Row],[Total Price]]&gt;3330.41,"OUTLIER","NORMAL")</f>
        <v>NORMAL</v>
      </c>
      <c r="S948" s="5">
        <v>0</v>
      </c>
    </row>
    <row r="949" spans="1:19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 s="6">
        <v>1862.64</v>
      </c>
      <c r="O949">
        <v>2023</v>
      </c>
      <c r="P949" s="3" t="s">
        <v>4299</v>
      </c>
      <c r="Q949">
        <v>3</v>
      </c>
      <c r="R949" t="str">
        <f>IF(Table1_2[[#This Row],[Total Price]]&gt;3330.41,"OUTLIER","NORMAL")</f>
        <v>NORMAL</v>
      </c>
      <c r="S949" s="5">
        <v>0</v>
      </c>
    </row>
    <row r="950" spans="1:19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4293</v>
      </c>
      <c r="M950" s="3" t="s">
        <v>4282</v>
      </c>
      <c r="N950" s="6">
        <v>1188.1400000000001</v>
      </c>
      <c r="O950">
        <v>2024</v>
      </c>
      <c r="P950" s="3" t="s">
        <v>4292</v>
      </c>
      <c r="Q950">
        <v>2</v>
      </c>
      <c r="R950" t="str">
        <f>IF(Table1_2[[#This Row],[Total Price]]&gt;3330.41,"OUTLIER","NORMAL")</f>
        <v>NORMAL</v>
      </c>
      <c r="S950" s="5">
        <v>0</v>
      </c>
    </row>
    <row r="951" spans="1:19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4293</v>
      </c>
      <c r="M951" s="3" t="s">
        <v>4279</v>
      </c>
      <c r="N951" s="6">
        <v>551.9</v>
      </c>
      <c r="O951">
        <v>2023</v>
      </c>
      <c r="P951" s="3" t="s">
        <v>4295</v>
      </c>
      <c r="Q951">
        <v>4</v>
      </c>
      <c r="R951" t="str">
        <f>IF(Table1_2[[#This Row],[Total Price]]&gt;3330.41,"OUTLIER","NORMAL")</f>
        <v>NORMAL</v>
      </c>
      <c r="S951" s="5">
        <v>0</v>
      </c>
    </row>
    <row r="952" spans="1:19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 s="6">
        <v>596.24</v>
      </c>
      <c r="O952">
        <v>2024</v>
      </c>
      <c r="P952" s="3" t="s">
        <v>4291</v>
      </c>
      <c r="Q952">
        <v>2</v>
      </c>
      <c r="R952" t="str">
        <f>IF(Table1_2[[#This Row],[Total Price]]&gt;3330.41,"OUTLIER","NORMAL")</f>
        <v>NORMAL</v>
      </c>
      <c r="S952" s="5">
        <v>0</v>
      </c>
    </row>
    <row r="953" spans="1:19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 s="6">
        <v>612.48</v>
      </c>
      <c r="O953">
        <v>2024</v>
      </c>
      <c r="P953" s="3" t="s">
        <v>4298</v>
      </c>
      <c r="Q953">
        <v>3</v>
      </c>
      <c r="R953" t="str">
        <f>IF(Table1_2[[#This Row],[Total Price]]&gt;3330.41,"OUTLIER","NORMAL")</f>
        <v>NORMAL</v>
      </c>
      <c r="S953" s="5">
        <v>0</v>
      </c>
    </row>
    <row r="954" spans="1:19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4293</v>
      </c>
      <c r="M954" s="3" t="s">
        <v>4281</v>
      </c>
      <c r="N954" s="6">
        <v>1510.17</v>
      </c>
      <c r="O954">
        <v>2025</v>
      </c>
      <c r="P954" s="3" t="s">
        <v>4289</v>
      </c>
      <c r="Q954">
        <v>1</v>
      </c>
      <c r="R954" t="str">
        <f>IF(Table1_2[[#This Row],[Total Price]]&gt;3330.41,"OUTLIER","NORMAL")</f>
        <v>NORMAL</v>
      </c>
      <c r="S954" s="5">
        <v>0</v>
      </c>
    </row>
    <row r="955" spans="1:19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 s="6">
        <v>131.61000000000001</v>
      </c>
      <c r="O955">
        <v>2023</v>
      </c>
      <c r="P955" s="3" t="s">
        <v>4289</v>
      </c>
      <c r="Q955">
        <v>1</v>
      </c>
      <c r="R955" t="str">
        <f>IF(Table1_2[[#This Row],[Total Price]]&gt;3330.41,"OUTLIER","NORMAL")</f>
        <v>NORMAL</v>
      </c>
      <c r="S955" s="5">
        <v>0</v>
      </c>
    </row>
    <row r="956" spans="1:19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 s="6">
        <v>1330.32</v>
      </c>
      <c r="O956">
        <v>2024</v>
      </c>
      <c r="P956" s="3" t="s">
        <v>4290</v>
      </c>
      <c r="Q956">
        <v>4</v>
      </c>
      <c r="R956" t="str">
        <f>IF(Table1_2[[#This Row],[Total Price]]&gt;3330.41,"OUTLIER","NORMAL")</f>
        <v>NORMAL</v>
      </c>
      <c r="S956" s="5">
        <v>0</v>
      </c>
    </row>
    <row r="957" spans="1:19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 s="6">
        <v>408.13</v>
      </c>
      <c r="O957">
        <v>2023</v>
      </c>
      <c r="P957" s="3" t="s">
        <v>4287</v>
      </c>
      <c r="Q957">
        <v>1</v>
      </c>
      <c r="R957" t="str">
        <f>IF(Table1_2[[#This Row],[Total Price]]&gt;3330.41,"OUTLIER","NORMAL")</f>
        <v>NORMAL</v>
      </c>
      <c r="S957" s="5">
        <v>0</v>
      </c>
    </row>
    <row r="958" spans="1:19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 s="6">
        <v>321.95999999999998</v>
      </c>
      <c r="O958">
        <v>2024</v>
      </c>
      <c r="P958" s="3" t="s">
        <v>4294</v>
      </c>
      <c r="Q958">
        <v>2</v>
      </c>
      <c r="R958" t="str">
        <f>IF(Table1_2[[#This Row],[Total Price]]&gt;3330.41,"OUTLIER","NORMAL")</f>
        <v>NORMAL</v>
      </c>
      <c r="S958" s="5">
        <v>0</v>
      </c>
    </row>
    <row r="959" spans="1:19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 s="6">
        <v>3219.45</v>
      </c>
      <c r="O959">
        <v>2023</v>
      </c>
      <c r="P959" s="3" t="s">
        <v>4287</v>
      </c>
      <c r="Q959">
        <v>1</v>
      </c>
      <c r="R959" t="str">
        <f>IF(Table1_2[[#This Row],[Total Price]]&gt;3330.41,"OUTLIER","NORMAL")</f>
        <v>NORMAL</v>
      </c>
      <c r="S959" s="5">
        <v>0</v>
      </c>
    </row>
    <row r="960" spans="1:19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 s="6">
        <v>475.98</v>
      </c>
      <c r="O960">
        <v>2023</v>
      </c>
      <c r="P960" s="3" t="s">
        <v>4291</v>
      </c>
      <c r="Q960">
        <v>2</v>
      </c>
      <c r="R960" t="str">
        <f>IF(Table1_2[[#This Row],[Total Price]]&gt;3330.41,"OUTLIER","NORMAL")</f>
        <v>NORMAL</v>
      </c>
      <c r="S960" s="5">
        <v>0</v>
      </c>
    </row>
    <row r="961" spans="1:19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 s="6">
        <v>287.64</v>
      </c>
      <c r="O961">
        <v>2024</v>
      </c>
      <c r="P961" s="3" t="s">
        <v>4294</v>
      </c>
      <c r="Q961">
        <v>2</v>
      </c>
      <c r="R961" t="str">
        <f>IF(Table1_2[[#This Row],[Total Price]]&gt;3330.41,"OUTLIER","NORMAL")</f>
        <v>NORMAL</v>
      </c>
      <c r="S961" s="5">
        <v>0</v>
      </c>
    </row>
    <row r="962" spans="1:19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 s="6">
        <v>1137.21</v>
      </c>
      <c r="O962">
        <v>2023</v>
      </c>
      <c r="P962" s="3" t="s">
        <v>4296</v>
      </c>
      <c r="Q962">
        <v>4</v>
      </c>
      <c r="R962" t="str">
        <f>IF(Table1_2[[#This Row],[Total Price]]&gt;3330.41,"OUTLIER","NORMAL")</f>
        <v>NORMAL</v>
      </c>
      <c r="S962" s="5">
        <v>0</v>
      </c>
    </row>
    <row r="963" spans="1:19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4293</v>
      </c>
      <c r="M963" s="3" t="s">
        <v>4281</v>
      </c>
      <c r="N963" s="6">
        <v>601.36</v>
      </c>
      <c r="O963">
        <v>2024</v>
      </c>
      <c r="P963" s="3" t="s">
        <v>4295</v>
      </c>
      <c r="Q963">
        <v>4</v>
      </c>
      <c r="R963" t="str">
        <f>IF(Table1_2[[#This Row],[Total Price]]&gt;3330.41,"OUTLIER","NORMAL")</f>
        <v>NORMAL</v>
      </c>
      <c r="S963" s="5">
        <v>0</v>
      </c>
    </row>
    <row r="964" spans="1:19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 s="6">
        <v>284.16000000000003</v>
      </c>
      <c r="O964">
        <v>2024</v>
      </c>
      <c r="P964" s="3" t="s">
        <v>4299</v>
      </c>
      <c r="Q964">
        <v>3</v>
      </c>
      <c r="R964" t="str">
        <f>IF(Table1_2[[#This Row],[Total Price]]&gt;3330.41,"OUTLIER","NORMAL")</f>
        <v>NORMAL</v>
      </c>
      <c r="S964" s="5">
        <v>0</v>
      </c>
    </row>
    <row r="965" spans="1:19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 s="6">
        <v>2651.7</v>
      </c>
      <c r="O965">
        <v>2024</v>
      </c>
      <c r="P965" s="3" t="s">
        <v>4297</v>
      </c>
      <c r="Q965">
        <v>1</v>
      </c>
      <c r="R965" t="str">
        <f>IF(Table1_2[[#This Row],[Total Price]]&gt;3330.41,"OUTLIER","NORMAL")</f>
        <v>NORMAL</v>
      </c>
      <c r="S965" s="5">
        <v>0</v>
      </c>
    </row>
    <row r="966" spans="1:19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 s="6">
        <v>1822.1</v>
      </c>
      <c r="O966">
        <v>2023</v>
      </c>
      <c r="P966" s="3" t="s">
        <v>4288</v>
      </c>
      <c r="Q966">
        <v>3</v>
      </c>
      <c r="R966" t="str">
        <f>IF(Table1_2[[#This Row],[Total Price]]&gt;3330.41,"OUTLIER","NORMAL")</f>
        <v>NORMAL</v>
      </c>
      <c r="S966" s="5">
        <v>0</v>
      </c>
    </row>
    <row r="967" spans="1:19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 s="6">
        <v>2313.12</v>
      </c>
      <c r="O967">
        <v>2025</v>
      </c>
      <c r="P967" s="3" t="s">
        <v>4292</v>
      </c>
      <c r="Q967">
        <v>2</v>
      </c>
      <c r="R967" t="str">
        <f>IF(Table1_2[[#This Row],[Total Price]]&gt;3330.41,"OUTLIER","NORMAL")</f>
        <v>NORMAL</v>
      </c>
      <c r="S967" s="5">
        <v>0</v>
      </c>
    </row>
    <row r="968" spans="1:19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 s="6">
        <v>1402.6</v>
      </c>
      <c r="O968">
        <v>2025</v>
      </c>
      <c r="P968" s="3" t="s">
        <v>4291</v>
      </c>
      <c r="Q968">
        <v>2</v>
      </c>
      <c r="R968" t="str">
        <f>IF(Table1_2[[#This Row],[Total Price]]&gt;3330.41,"OUTLIER","NORMAL")</f>
        <v>NORMAL</v>
      </c>
      <c r="S968" s="5">
        <v>0</v>
      </c>
    </row>
    <row r="969" spans="1:19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 s="6">
        <v>3194.6</v>
      </c>
      <c r="O969">
        <v>2025</v>
      </c>
      <c r="P969" s="3" t="s">
        <v>4291</v>
      </c>
      <c r="Q969">
        <v>2</v>
      </c>
      <c r="R969" t="str">
        <f>IF(Table1_2[[#This Row],[Total Price]]&gt;3330.41,"OUTLIER","NORMAL")</f>
        <v>NORMAL</v>
      </c>
      <c r="S969" s="5">
        <v>0</v>
      </c>
    </row>
    <row r="970" spans="1:19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 s="6">
        <v>1648.8</v>
      </c>
      <c r="O970">
        <v>2024</v>
      </c>
      <c r="P970" s="3" t="s">
        <v>4289</v>
      </c>
      <c r="Q970">
        <v>1</v>
      </c>
      <c r="R970" t="str">
        <f>IF(Table1_2[[#This Row],[Total Price]]&gt;3330.41,"OUTLIER","NORMAL")</f>
        <v>NORMAL</v>
      </c>
      <c r="S970" s="5">
        <v>0</v>
      </c>
    </row>
    <row r="971" spans="1:19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 s="6">
        <v>440.34</v>
      </c>
      <c r="O971">
        <v>2025</v>
      </c>
      <c r="P971" s="3" t="s">
        <v>4292</v>
      </c>
      <c r="Q971">
        <v>2</v>
      </c>
      <c r="R971" t="str">
        <f>IF(Table1_2[[#This Row],[Total Price]]&gt;3330.41,"OUTLIER","NORMAL")</f>
        <v>NORMAL</v>
      </c>
      <c r="S971" s="5">
        <v>0</v>
      </c>
    </row>
    <row r="972" spans="1:19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 s="6">
        <v>627.15</v>
      </c>
      <c r="O972">
        <v>2024</v>
      </c>
      <c r="P972" s="3" t="s">
        <v>4299</v>
      </c>
      <c r="Q972">
        <v>3</v>
      </c>
      <c r="R972" t="str">
        <f>IF(Table1_2[[#This Row],[Total Price]]&gt;3330.41,"OUTLIER","NORMAL")</f>
        <v>NORMAL</v>
      </c>
      <c r="S972" s="5">
        <v>0</v>
      </c>
    </row>
    <row r="973" spans="1:19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 s="6">
        <v>1210.52</v>
      </c>
      <c r="O973">
        <v>2024</v>
      </c>
      <c r="P973" s="3" t="s">
        <v>4291</v>
      </c>
      <c r="Q973">
        <v>2</v>
      </c>
      <c r="R973" t="str">
        <f>IF(Table1_2[[#This Row],[Total Price]]&gt;3330.41,"OUTLIER","NORMAL")</f>
        <v>NORMAL</v>
      </c>
      <c r="S973" s="5">
        <v>0</v>
      </c>
    </row>
    <row r="974" spans="1:19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 s="6">
        <v>90.27</v>
      </c>
      <c r="O974">
        <v>2024</v>
      </c>
      <c r="P974" s="3" t="s">
        <v>4292</v>
      </c>
      <c r="Q974">
        <v>2</v>
      </c>
      <c r="R974" t="str">
        <f>IF(Table1_2[[#This Row],[Total Price]]&gt;3330.41,"OUTLIER","NORMAL")</f>
        <v>NORMAL</v>
      </c>
      <c r="S974" s="5">
        <v>0</v>
      </c>
    </row>
    <row r="975" spans="1:19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 s="6">
        <v>1153.8499999999999</v>
      </c>
      <c r="O975">
        <v>2025</v>
      </c>
      <c r="P975" s="3" t="s">
        <v>4292</v>
      </c>
      <c r="Q975">
        <v>2</v>
      </c>
      <c r="R975" t="str">
        <f>IF(Table1_2[[#This Row],[Total Price]]&gt;3330.41,"OUTLIER","NORMAL")</f>
        <v>NORMAL</v>
      </c>
      <c r="S975" s="5">
        <v>0</v>
      </c>
    </row>
    <row r="976" spans="1:19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4293</v>
      </c>
      <c r="M976" s="3" t="s">
        <v>4280</v>
      </c>
      <c r="N976" s="6">
        <v>1333.9</v>
      </c>
      <c r="O976">
        <v>2023</v>
      </c>
      <c r="P976" s="3" t="s">
        <v>4299</v>
      </c>
      <c r="Q976">
        <v>3</v>
      </c>
      <c r="R976" t="str">
        <f>IF(Table1_2[[#This Row],[Total Price]]&gt;3330.41,"OUTLIER","NORMAL")</f>
        <v>NORMAL</v>
      </c>
      <c r="S976" s="5">
        <v>0</v>
      </c>
    </row>
    <row r="977" spans="1:19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 s="6">
        <v>105.92</v>
      </c>
      <c r="O977">
        <v>2023</v>
      </c>
      <c r="P977" s="3" t="s">
        <v>4291</v>
      </c>
      <c r="Q977">
        <v>2</v>
      </c>
      <c r="R977" t="str">
        <f>IF(Table1_2[[#This Row],[Total Price]]&gt;3330.41,"OUTLIER","NORMAL")</f>
        <v>NORMAL</v>
      </c>
      <c r="S977" s="5">
        <v>0</v>
      </c>
    </row>
    <row r="978" spans="1:19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 s="6">
        <v>1767.9</v>
      </c>
      <c r="O978">
        <v>2024</v>
      </c>
      <c r="P978" s="3" t="s">
        <v>4294</v>
      </c>
      <c r="Q978">
        <v>2</v>
      </c>
      <c r="R978" t="str">
        <f>IF(Table1_2[[#This Row],[Total Price]]&gt;3330.41,"OUTLIER","NORMAL")</f>
        <v>NORMAL</v>
      </c>
      <c r="S978" s="5">
        <v>0</v>
      </c>
    </row>
    <row r="979" spans="1:19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 s="6">
        <v>2597.88</v>
      </c>
      <c r="O979">
        <v>2023</v>
      </c>
      <c r="P979" s="3" t="s">
        <v>4287</v>
      </c>
      <c r="Q979">
        <v>1</v>
      </c>
      <c r="R979" t="str">
        <f>IF(Table1_2[[#This Row],[Total Price]]&gt;3330.41,"OUTLIER","NORMAL")</f>
        <v>NORMAL</v>
      </c>
      <c r="S979" s="5">
        <v>0</v>
      </c>
    </row>
    <row r="980" spans="1:19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4293</v>
      </c>
      <c r="M980" s="3" t="s">
        <v>4282</v>
      </c>
      <c r="N980" s="6">
        <v>429.96</v>
      </c>
      <c r="O980">
        <v>2024</v>
      </c>
      <c r="P980" s="3" t="s">
        <v>4292</v>
      </c>
      <c r="Q980">
        <v>2</v>
      </c>
      <c r="R980" t="str">
        <f>IF(Table1_2[[#This Row],[Total Price]]&gt;3330.41,"OUTLIER","NORMAL")</f>
        <v>NORMAL</v>
      </c>
      <c r="S980" s="5">
        <v>0</v>
      </c>
    </row>
    <row r="981" spans="1:19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 s="6">
        <v>2007.18</v>
      </c>
      <c r="O981">
        <v>2023</v>
      </c>
      <c r="P981" s="3" t="s">
        <v>4291</v>
      </c>
      <c r="Q981">
        <v>2</v>
      </c>
      <c r="R981" t="str">
        <f>IF(Table1_2[[#This Row],[Total Price]]&gt;3330.41,"OUTLIER","NORMAL")</f>
        <v>NORMAL</v>
      </c>
      <c r="S981" s="5">
        <v>0</v>
      </c>
    </row>
    <row r="982" spans="1:19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 s="6">
        <v>208.95</v>
      </c>
      <c r="O982">
        <v>2023</v>
      </c>
      <c r="P982" s="3" t="s">
        <v>4290</v>
      </c>
      <c r="Q982">
        <v>4</v>
      </c>
      <c r="R982" t="str">
        <f>IF(Table1_2[[#This Row],[Total Price]]&gt;3330.41,"OUTLIER","NORMAL")</f>
        <v>NORMAL</v>
      </c>
      <c r="S982" s="5">
        <v>0</v>
      </c>
    </row>
    <row r="983" spans="1:19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 s="6">
        <v>547.32000000000005</v>
      </c>
      <c r="O983">
        <v>2023</v>
      </c>
      <c r="P983" s="3" t="s">
        <v>4295</v>
      </c>
      <c r="Q983">
        <v>4</v>
      </c>
      <c r="R983" t="str">
        <f>IF(Table1_2[[#This Row],[Total Price]]&gt;3330.41,"OUTLIER","NORMAL")</f>
        <v>NORMAL</v>
      </c>
      <c r="S983" s="5">
        <v>0</v>
      </c>
    </row>
    <row r="984" spans="1:19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 s="6">
        <v>304.11</v>
      </c>
      <c r="O984">
        <v>2024</v>
      </c>
      <c r="P984" s="3" t="s">
        <v>4299</v>
      </c>
      <c r="Q984">
        <v>3</v>
      </c>
      <c r="R984" t="str">
        <f>IF(Table1_2[[#This Row],[Total Price]]&gt;3330.41,"OUTLIER","NORMAL")</f>
        <v>NORMAL</v>
      </c>
      <c r="S984" s="5">
        <v>0</v>
      </c>
    </row>
    <row r="985" spans="1:19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 s="6">
        <v>1185.1199999999999</v>
      </c>
      <c r="O985">
        <v>2024</v>
      </c>
      <c r="P985" s="3" t="s">
        <v>4295</v>
      </c>
      <c r="Q985">
        <v>4</v>
      </c>
      <c r="R985" t="str">
        <f>IF(Table1_2[[#This Row],[Total Price]]&gt;3330.41,"OUTLIER","NORMAL")</f>
        <v>NORMAL</v>
      </c>
      <c r="S985" s="5">
        <v>0</v>
      </c>
    </row>
    <row r="986" spans="1:19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 s="6">
        <v>77.64</v>
      </c>
      <c r="O986">
        <v>2025</v>
      </c>
      <c r="P986" s="3" t="s">
        <v>4289</v>
      </c>
      <c r="Q986">
        <v>1</v>
      </c>
      <c r="R986" t="str">
        <f>IF(Table1_2[[#This Row],[Total Price]]&gt;3330.41,"OUTLIER","NORMAL")</f>
        <v>NORMAL</v>
      </c>
      <c r="S986" s="5">
        <v>0</v>
      </c>
    </row>
    <row r="987" spans="1:19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 s="6">
        <v>243.71</v>
      </c>
      <c r="O987">
        <v>2024</v>
      </c>
      <c r="P987" s="3" t="s">
        <v>4298</v>
      </c>
      <c r="Q987">
        <v>3</v>
      </c>
      <c r="R987" t="str">
        <f>IF(Table1_2[[#This Row],[Total Price]]&gt;3330.41,"OUTLIER","NORMAL")</f>
        <v>NORMAL</v>
      </c>
      <c r="S987" s="5">
        <v>0</v>
      </c>
    </row>
    <row r="988" spans="1:19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 s="6">
        <v>2579.84</v>
      </c>
      <c r="O988">
        <v>2024</v>
      </c>
      <c r="P988" s="3" t="s">
        <v>4299</v>
      </c>
      <c r="Q988">
        <v>3</v>
      </c>
      <c r="R988" t="str">
        <f>IF(Table1_2[[#This Row],[Total Price]]&gt;3330.41,"OUTLIER","NORMAL")</f>
        <v>NORMAL</v>
      </c>
      <c r="S988" s="5">
        <v>0</v>
      </c>
    </row>
    <row r="989" spans="1:19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 s="6">
        <v>1418.65</v>
      </c>
      <c r="O989">
        <v>2025</v>
      </c>
      <c r="P989" s="3" t="s">
        <v>4292</v>
      </c>
      <c r="Q989">
        <v>2</v>
      </c>
      <c r="R989" t="str">
        <f>IF(Table1_2[[#This Row],[Total Price]]&gt;3330.41,"OUTLIER","NORMAL")</f>
        <v>NORMAL</v>
      </c>
      <c r="S989" s="5">
        <v>0</v>
      </c>
    </row>
    <row r="990" spans="1:19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 s="6">
        <v>1259.1199999999999</v>
      </c>
      <c r="O990">
        <v>2025</v>
      </c>
      <c r="P990" s="3" t="s">
        <v>4289</v>
      </c>
      <c r="Q990">
        <v>1</v>
      </c>
      <c r="R990" t="str">
        <f>IF(Table1_2[[#This Row],[Total Price]]&gt;3330.41,"OUTLIER","NORMAL")</f>
        <v>NORMAL</v>
      </c>
      <c r="S990" s="5">
        <v>0</v>
      </c>
    </row>
    <row r="991" spans="1:19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 s="6">
        <v>984.44</v>
      </c>
      <c r="O991">
        <v>2023</v>
      </c>
      <c r="P991" s="3" t="s">
        <v>4297</v>
      </c>
      <c r="Q991">
        <v>1</v>
      </c>
      <c r="R991" t="str">
        <f>IF(Table1_2[[#This Row],[Total Price]]&gt;3330.41,"OUTLIER","NORMAL")</f>
        <v>NORMAL</v>
      </c>
      <c r="S991" s="5">
        <v>0</v>
      </c>
    </row>
    <row r="992" spans="1:19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 s="6">
        <v>836.52</v>
      </c>
      <c r="O992">
        <v>2023</v>
      </c>
      <c r="P992" s="3" t="s">
        <v>4295</v>
      </c>
      <c r="Q992">
        <v>4</v>
      </c>
      <c r="R992" t="str">
        <f>IF(Table1_2[[#This Row],[Total Price]]&gt;3330.41,"OUTLIER","NORMAL")</f>
        <v>NORMAL</v>
      </c>
      <c r="S992" s="5">
        <v>0</v>
      </c>
    </row>
    <row r="993" spans="1:19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 s="6">
        <v>635.90000000000009</v>
      </c>
      <c r="O993">
        <v>2024</v>
      </c>
      <c r="P993" s="3" t="s">
        <v>4291</v>
      </c>
      <c r="Q993">
        <v>2</v>
      </c>
      <c r="R993" t="str">
        <f>IF(Table1_2[[#This Row],[Total Price]]&gt;3330.41,"OUTLIER","NORMAL")</f>
        <v>NORMAL</v>
      </c>
      <c r="S993" s="5">
        <v>0</v>
      </c>
    </row>
    <row r="994" spans="1:19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 s="6">
        <v>1758.63</v>
      </c>
      <c r="O994">
        <v>2024</v>
      </c>
      <c r="P994" s="3" t="s">
        <v>4288</v>
      </c>
      <c r="Q994">
        <v>3</v>
      </c>
      <c r="R994" t="str">
        <f>IF(Table1_2[[#This Row],[Total Price]]&gt;3330.41,"OUTLIER","NORMAL")</f>
        <v>NORMAL</v>
      </c>
      <c r="S994" s="5">
        <v>0</v>
      </c>
    </row>
    <row r="995" spans="1:19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 s="6">
        <v>802.34999999999991</v>
      </c>
      <c r="O995">
        <v>2024</v>
      </c>
      <c r="P995" s="3" t="s">
        <v>4294</v>
      </c>
      <c r="Q995">
        <v>2</v>
      </c>
      <c r="R995" t="str">
        <f>IF(Table1_2[[#This Row],[Total Price]]&gt;3330.41,"OUTLIER","NORMAL")</f>
        <v>NORMAL</v>
      </c>
      <c r="S995" s="5">
        <v>0</v>
      </c>
    </row>
    <row r="996" spans="1:19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 s="6">
        <v>2462.6</v>
      </c>
      <c r="O996">
        <v>2024</v>
      </c>
      <c r="P996" s="3" t="s">
        <v>4292</v>
      </c>
      <c r="Q996">
        <v>2</v>
      </c>
      <c r="R996" t="str">
        <f>IF(Table1_2[[#This Row],[Total Price]]&gt;3330.41,"OUTLIER","NORMAL")</f>
        <v>NORMAL</v>
      </c>
      <c r="S996" s="5">
        <v>0</v>
      </c>
    </row>
    <row r="997" spans="1:19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 s="6">
        <v>226.58</v>
      </c>
      <c r="O997">
        <v>2023</v>
      </c>
      <c r="P997" s="3" t="s">
        <v>4295</v>
      </c>
      <c r="Q997">
        <v>4</v>
      </c>
      <c r="R997" t="str">
        <f>IF(Table1_2[[#This Row],[Total Price]]&gt;3330.41,"OUTLIER","NORMAL")</f>
        <v>NORMAL</v>
      </c>
      <c r="S997" s="5">
        <v>0</v>
      </c>
    </row>
    <row r="998" spans="1:19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 s="6">
        <v>1895.44</v>
      </c>
      <c r="O998">
        <v>2024</v>
      </c>
      <c r="P998" s="3" t="s">
        <v>4294</v>
      </c>
      <c r="Q998">
        <v>2</v>
      </c>
      <c r="R998" t="str">
        <f>IF(Table1_2[[#This Row],[Total Price]]&gt;3330.41,"OUTLIER","NORMAL")</f>
        <v>NORMAL</v>
      </c>
      <c r="S998" s="5">
        <v>0</v>
      </c>
    </row>
    <row r="999" spans="1:19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 s="6">
        <v>1334.25</v>
      </c>
      <c r="O999">
        <v>2023</v>
      </c>
      <c r="P999" s="3" t="s">
        <v>4295</v>
      </c>
      <c r="Q999">
        <v>4</v>
      </c>
      <c r="R999" t="str">
        <f>IF(Table1_2[[#This Row],[Total Price]]&gt;3330.41,"OUTLIER","NORMAL")</f>
        <v>NORMAL</v>
      </c>
      <c r="S999" s="5">
        <v>0</v>
      </c>
    </row>
    <row r="1000" spans="1:19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 s="6">
        <v>367.34</v>
      </c>
      <c r="O1000">
        <v>2023</v>
      </c>
      <c r="P1000" s="3" t="s">
        <v>4291</v>
      </c>
      <c r="Q1000">
        <v>2</v>
      </c>
      <c r="R1000" t="str">
        <f>IF(Table1_2[[#This Row],[Total Price]]&gt;3330.41,"OUTLIER","NORMAL")</f>
        <v>NORMAL</v>
      </c>
      <c r="S1000" s="5">
        <v>0</v>
      </c>
    </row>
    <row r="1001" spans="1:19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 s="6">
        <v>483.38</v>
      </c>
      <c r="O1001">
        <v>2023</v>
      </c>
      <c r="P1001" s="3" t="s">
        <v>4296</v>
      </c>
      <c r="Q1001">
        <v>4</v>
      </c>
      <c r="R1001" t="str">
        <f>IF(Table1_2[[#This Row],[Total Price]]&gt;3330.41,"OUTLIER","NORMAL")</f>
        <v>NORMAL</v>
      </c>
      <c r="S1001" s="5">
        <v>0</v>
      </c>
    </row>
    <row r="1002" spans="1:19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 s="6">
        <v>1304.6500000000001</v>
      </c>
      <c r="O1002">
        <v>2023</v>
      </c>
      <c r="P1002" s="3" t="s">
        <v>4292</v>
      </c>
      <c r="Q1002">
        <v>2</v>
      </c>
      <c r="R1002" t="str">
        <f>IF(Table1_2[[#This Row],[Total Price]]&gt;3330.41,"OUTLIER","NORMAL")</f>
        <v>NORMAL</v>
      </c>
      <c r="S1002" s="5">
        <v>0</v>
      </c>
    </row>
    <row r="1003" spans="1:19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4293</v>
      </c>
      <c r="M1003" s="3" t="s">
        <v>4279</v>
      </c>
      <c r="N1003" s="6">
        <v>507.36</v>
      </c>
      <c r="O1003">
        <v>2023</v>
      </c>
      <c r="P1003" s="3" t="s">
        <v>4296</v>
      </c>
      <c r="Q1003">
        <v>4</v>
      </c>
      <c r="R1003" t="str">
        <f>IF(Table1_2[[#This Row],[Total Price]]&gt;3330.41,"OUTLIER","NORMAL")</f>
        <v>NORMAL</v>
      </c>
      <c r="S1003" s="5">
        <v>0</v>
      </c>
    </row>
    <row r="1004" spans="1:19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 s="6">
        <v>2799.52</v>
      </c>
      <c r="O1004">
        <v>2025</v>
      </c>
      <c r="P1004" s="3" t="s">
        <v>4292</v>
      </c>
      <c r="Q1004">
        <v>2</v>
      </c>
      <c r="R1004" t="str">
        <f>IF(Table1_2[[#This Row],[Total Price]]&gt;3330.41,"OUTLIER","NORMAL")</f>
        <v>NORMAL</v>
      </c>
      <c r="S1004" s="5">
        <v>0</v>
      </c>
    </row>
    <row r="1005" spans="1:19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 s="6">
        <v>1599.85</v>
      </c>
      <c r="O1005">
        <v>2023</v>
      </c>
      <c r="P1005" s="3" t="s">
        <v>4287</v>
      </c>
      <c r="Q1005">
        <v>1</v>
      </c>
      <c r="R1005" t="str">
        <f>IF(Table1_2[[#This Row],[Total Price]]&gt;3330.41,"OUTLIER","NORMAL")</f>
        <v>NORMAL</v>
      </c>
      <c r="S1005" s="5">
        <v>0</v>
      </c>
    </row>
    <row r="1006" spans="1:19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 s="6">
        <v>987.64</v>
      </c>
      <c r="O1006">
        <v>2025</v>
      </c>
      <c r="P1006" s="3" t="s">
        <v>4292</v>
      </c>
      <c r="Q1006">
        <v>2</v>
      </c>
      <c r="R1006" t="str">
        <f>IF(Table1_2[[#This Row],[Total Price]]&gt;3330.41,"OUTLIER","NORMAL")</f>
        <v>NORMAL</v>
      </c>
      <c r="S1006" s="5">
        <v>0</v>
      </c>
    </row>
    <row r="1007" spans="1:19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4293</v>
      </c>
      <c r="M1007" s="3" t="s">
        <v>4282</v>
      </c>
      <c r="N1007" s="6">
        <v>1178.55</v>
      </c>
      <c r="O1007">
        <v>2023</v>
      </c>
      <c r="P1007" s="3" t="s">
        <v>4297</v>
      </c>
      <c r="Q1007">
        <v>1</v>
      </c>
      <c r="R1007" t="str">
        <f>IF(Table1_2[[#This Row],[Total Price]]&gt;3330.41,"OUTLIER","NORMAL")</f>
        <v>NORMAL</v>
      </c>
      <c r="S1007" s="5">
        <v>0</v>
      </c>
    </row>
    <row r="1008" spans="1:19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 s="6">
        <v>2104.9</v>
      </c>
      <c r="O1008">
        <v>2024</v>
      </c>
      <c r="P1008" s="3" t="s">
        <v>4291</v>
      </c>
      <c r="Q1008">
        <v>2</v>
      </c>
      <c r="R1008" t="str">
        <f>IF(Table1_2[[#This Row],[Total Price]]&gt;3330.41,"OUTLIER","NORMAL")</f>
        <v>NORMAL</v>
      </c>
      <c r="S1008" s="5">
        <v>0</v>
      </c>
    </row>
    <row r="1009" spans="1:19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 s="6">
        <v>146.52000000000001</v>
      </c>
      <c r="O1009">
        <v>2024</v>
      </c>
      <c r="P1009" s="3" t="s">
        <v>4297</v>
      </c>
      <c r="Q1009">
        <v>1</v>
      </c>
      <c r="R1009" t="str">
        <f>IF(Table1_2[[#This Row],[Total Price]]&gt;3330.41,"OUTLIER","NORMAL")</f>
        <v>NORMAL</v>
      </c>
      <c r="S1009" s="5">
        <v>0</v>
      </c>
    </row>
    <row r="1010" spans="1:19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 s="6">
        <v>1232.6400000000001</v>
      </c>
      <c r="O1010">
        <v>2023</v>
      </c>
      <c r="P1010" s="3" t="s">
        <v>4287</v>
      </c>
      <c r="Q1010">
        <v>1</v>
      </c>
      <c r="R1010" t="str">
        <f>IF(Table1_2[[#This Row],[Total Price]]&gt;3330.41,"OUTLIER","NORMAL")</f>
        <v>NORMAL</v>
      </c>
      <c r="S1010" s="5">
        <v>0</v>
      </c>
    </row>
    <row r="1011" spans="1:19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 s="6">
        <v>352.92</v>
      </c>
      <c r="O1011">
        <v>2023</v>
      </c>
      <c r="P1011" s="3" t="s">
        <v>4299</v>
      </c>
      <c r="Q1011">
        <v>3</v>
      </c>
      <c r="R1011" t="str">
        <f>IF(Table1_2[[#This Row],[Total Price]]&gt;3330.41,"OUTLIER","NORMAL")</f>
        <v>NORMAL</v>
      </c>
      <c r="S1011" s="5">
        <v>0</v>
      </c>
    </row>
    <row r="1012" spans="1:19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 s="6">
        <v>1978.71</v>
      </c>
      <c r="O1012">
        <v>2023</v>
      </c>
      <c r="P1012" s="3" t="s">
        <v>4297</v>
      </c>
      <c r="Q1012">
        <v>1</v>
      </c>
      <c r="R1012" t="str">
        <f>IF(Table1_2[[#This Row],[Total Price]]&gt;3330.41,"OUTLIER","NORMAL")</f>
        <v>NORMAL</v>
      </c>
      <c r="S1012" s="5">
        <v>0</v>
      </c>
    </row>
    <row r="1013" spans="1:19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4293</v>
      </c>
      <c r="M1013" s="3" t="s">
        <v>4282</v>
      </c>
      <c r="N1013" s="6">
        <v>956.72</v>
      </c>
      <c r="O1013">
        <v>2024</v>
      </c>
      <c r="P1013" s="3" t="s">
        <v>4296</v>
      </c>
      <c r="Q1013">
        <v>4</v>
      </c>
      <c r="R1013" t="str">
        <f>IF(Table1_2[[#This Row],[Total Price]]&gt;3330.41,"OUTLIER","NORMAL")</f>
        <v>NORMAL</v>
      </c>
      <c r="S1013" s="5">
        <v>0</v>
      </c>
    </row>
    <row r="1014" spans="1:19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4293</v>
      </c>
      <c r="M1014" s="3" t="s">
        <v>4281</v>
      </c>
      <c r="N1014" s="6">
        <v>120.2</v>
      </c>
      <c r="O1014">
        <v>2024</v>
      </c>
      <c r="P1014" s="3" t="s">
        <v>4296</v>
      </c>
      <c r="Q1014">
        <v>4</v>
      </c>
      <c r="R1014" t="str">
        <f>IF(Table1_2[[#This Row],[Total Price]]&gt;3330.41,"OUTLIER","NORMAL")</f>
        <v>NORMAL</v>
      </c>
      <c r="S1014" s="5">
        <v>0</v>
      </c>
    </row>
    <row r="1015" spans="1:19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 s="6">
        <v>1202.24</v>
      </c>
      <c r="O1015">
        <v>2025</v>
      </c>
      <c r="P1015" s="3" t="s">
        <v>4294</v>
      </c>
      <c r="Q1015">
        <v>2</v>
      </c>
      <c r="R1015" t="str">
        <f>IF(Table1_2[[#This Row],[Total Price]]&gt;3330.41,"OUTLIER","NORMAL")</f>
        <v>NORMAL</v>
      </c>
      <c r="S1015" s="5">
        <v>0</v>
      </c>
    </row>
    <row r="1016" spans="1:19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 s="6">
        <v>1132.25</v>
      </c>
      <c r="O1016">
        <v>2024</v>
      </c>
      <c r="P1016" s="3" t="s">
        <v>4289</v>
      </c>
      <c r="Q1016">
        <v>1</v>
      </c>
      <c r="R1016" t="str">
        <f>IF(Table1_2[[#This Row],[Total Price]]&gt;3330.41,"OUTLIER","NORMAL")</f>
        <v>NORMAL</v>
      </c>
      <c r="S1016" s="5">
        <v>0</v>
      </c>
    </row>
    <row r="1017" spans="1:19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 s="6">
        <v>698.8</v>
      </c>
      <c r="O1017">
        <v>2024</v>
      </c>
      <c r="P1017" s="3" t="s">
        <v>4287</v>
      </c>
      <c r="Q1017">
        <v>1</v>
      </c>
      <c r="R1017" t="str">
        <f>IF(Table1_2[[#This Row],[Total Price]]&gt;3330.41,"OUTLIER","NORMAL")</f>
        <v>NORMAL</v>
      </c>
      <c r="S1017" s="5">
        <v>0</v>
      </c>
    </row>
    <row r="1018" spans="1:19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 s="6">
        <v>1343.9</v>
      </c>
      <c r="O1018">
        <v>2023</v>
      </c>
      <c r="P1018" s="3" t="s">
        <v>4296</v>
      </c>
      <c r="Q1018">
        <v>4</v>
      </c>
      <c r="R1018" t="str">
        <f>IF(Table1_2[[#This Row],[Total Price]]&gt;3330.41,"OUTLIER","NORMAL")</f>
        <v>NORMAL</v>
      </c>
      <c r="S1018" s="5">
        <v>0</v>
      </c>
    </row>
    <row r="1019" spans="1:19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 s="6">
        <v>1361.7</v>
      </c>
      <c r="O1019">
        <v>2024</v>
      </c>
      <c r="P1019" s="3" t="s">
        <v>4288</v>
      </c>
      <c r="Q1019">
        <v>3</v>
      </c>
      <c r="R1019" t="str">
        <f>IF(Table1_2[[#This Row],[Total Price]]&gt;3330.41,"OUTLIER","NORMAL")</f>
        <v>NORMAL</v>
      </c>
      <c r="S1019" s="5">
        <v>0</v>
      </c>
    </row>
    <row r="1020" spans="1:19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4293</v>
      </c>
      <c r="M1020" s="3" t="s">
        <v>4278</v>
      </c>
      <c r="N1020" s="6">
        <v>547.43999999999994</v>
      </c>
      <c r="O1020">
        <v>2023</v>
      </c>
      <c r="P1020" s="3" t="s">
        <v>4298</v>
      </c>
      <c r="Q1020">
        <v>3</v>
      </c>
      <c r="R1020" t="str">
        <f>IF(Table1_2[[#This Row],[Total Price]]&gt;3330.41,"OUTLIER","NORMAL")</f>
        <v>NORMAL</v>
      </c>
      <c r="S1020" s="5">
        <v>0</v>
      </c>
    </row>
    <row r="1021" spans="1:19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 s="6">
        <v>277.08999999999997</v>
      </c>
      <c r="O1021">
        <v>2024</v>
      </c>
      <c r="P1021" s="3" t="s">
        <v>4294</v>
      </c>
      <c r="Q1021">
        <v>2</v>
      </c>
      <c r="R1021" t="str">
        <f>IF(Table1_2[[#This Row],[Total Price]]&gt;3330.41,"OUTLIER","NORMAL")</f>
        <v>NORMAL</v>
      </c>
      <c r="S1021" s="5">
        <v>0</v>
      </c>
    </row>
    <row r="1022" spans="1:19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 s="6">
        <v>53</v>
      </c>
      <c r="O1022">
        <v>2024</v>
      </c>
      <c r="P1022" s="3" t="s">
        <v>4294</v>
      </c>
      <c r="Q1022">
        <v>2</v>
      </c>
      <c r="R1022" t="str">
        <f>IF(Table1_2[[#This Row],[Total Price]]&gt;3330.41,"OUTLIER","NORMAL")</f>
        <v>NORMAL</v>
      </c>
      <c r="S1022" s="5">
        <v>0</v>
      </c>
    </row>
    <row r="1023" spans="1:19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 s="6">
        <v>945.81</v>
      </c>
      <c r="O1023">
        <v>2023</v>
      </c>
      <c r="P1023" s="3" t="s">
        <v>4290</v>
      </c>
      <c r="Q1023">
        <v>4</v>
      </c>
      <c r="R1023" t="str">
        <f>IF(Table1_2[[#This Row],[Total Price]]&gt;3330.41,"OUTLIER","NORMAL")</f>
        <v>NORMAL</v>
      </c>
      <c r="S1023" s="5">
        <v>0</v>
      </c>
    </row>
    <row r="1024" spans="1:19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 s="6">
        <v>1352.94</v>
      </c>
      <c r="O1024">
        <v>2025</v>
      </c>
      <c r="P1024" s="3" t="s">
        <v>4289</v>
      </c>
      <c r="Q1024">
        <v>1</v>
      </c>
      <c r="R1024" t="str">
        <f>IF(Table1_2[[#This Row],[Total Price]]&gt;3330.41,"OUTLIER","NORMAL")</f>
        <v>NORMAL</v>
      </c>
      <c r="S1024" s="5">
        <v>0</v>
      </c>
    </row>
    <row r="1025" spans="1:19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4293</v>
      </c>
      <c r="M1025" s="3" t="s">
        <v>4279</v>
      </c>
      <c r="N1025" s="6">
        <v>1168.3499999999999</v>
      </c>
      <c r="O1025">
        <v>2024</v>
      </c>
      <c r="P1025" s="3" t="s">
        <v>4299</v>
      </c>
      <c r="Q1025">
        <v>3</v>
      </c>
      <c r="R1025" t="str">
        <f>IF(Table1_2[[#This Row],[Total Price]]&gt;3330.41,"OUTLIER","NORMAL")</f>
        <v>NORMAL</v>
      </c>
      <c r="S1025" s="5">
        <v>0</v>
      </c>
    </row>
    <row r="1026" spans="1:19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 s="6">
        <v>1103.25</v>
      </c>
      <c r="O1026">
        <v>2024</v>
      </c>
      <c r="P1026" s="3" t="s">
        <v>4287</v>
      </c>
      <c r="Q1026">
        <v>1</v>
      </c>
      <c r="R1026" t="str">
        <f>IF(Table1_2[[#This Row],[Total Price]]&gt;3330.41,"OUTLIER","NORMAL")</f>
        <v>NORMAL</v>
      </c>
      <c r="S1026" s="5">
        <v>0</v>
      </c>
    </row>
    <row r="1027" spans="1:19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 s="6">
        <v>23.53</v>
      </c>
      <c r="O1027">
        <v>2025</v>
      </c>
      <c r="P1027" s="3" t="s">
        <v>4291</v>
      </c>
      <c r="Q1027">
        <v>2</v>
      </c>
      <c r="R1027" t="str">
        <f>IF(Table1_2[[#This Row],[Total Price]]&gt;3330.41,"OUTLIER","NORMAL")</f>
        <v>NORMAL</v>
      </c>
      <c r="S1027" s="5">
        <v>0</v>
      </c>
    </row>
    <row r="1028" spans="1:19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 s="6">
        <v>677.48</v>
      </c>
      <c r="O1028">
        <v>2023</v>
      </c>
      <c r="P1028" s="3" t="s">
        <v>4291</v>
      </c>
      <c r="Q1028">
        <v>2</v>
      </c>
      <c r="R1028" t="str">
        <f>IF(Table1_2[[#This Row],[Total Price]]&gt;3330.41,"OUTLIER","NORMAL")</f>
        <v>NORMAL</v>
      </c>
      <c r="S1028" s="5">
        <v>0</v>
      </c>
    </row>
    <row r="1029" spans="1:19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4293</v>
      </c>
      <c r="M1029" s="3" t="s">
        <v>4282</v>
      </c>
      <c r="N1029" s="6">
        <v>2219.3200000000002</v>
      </c>
      <c r="O1029">
        <v>2024</v>
      </c>
      <c r="P1029" s="3" t="s">
        <v>4291</v>
      </c>
      <c r="Q1029">
        <v>2</v>
      </c>
      <c r="R1029" t="str">
        <f>IF(Table1_2[[#This Row],[Total Price]]&gt;3330.41,"OUTLIER","NORMAL")</f>
        <v>NORMAL</v>
      </c>
      <c r="S1029" s="5">
        <v>0</v>
      </c>
    </row>
    <row r="1030" spans="1:19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4293</v>
      </c>
      <c r="M1030" s="3" t="s">
        <v>4278</v>
      </c>
      <c r="N1030" s="6">
        <v>1761.24</v>
      </c>
      <c r="O1030">
        <v>2023</v>
      </c>
      <c r="P1030" s="3" t="s">
        <v>4289</v>
      </c>
      <c r="Q1030">
        <v>1</v>
      </c>
      <c r="R1030" t="str">
        <f>IF(Table1_2[[#This Row],[Total Price]]&gt;3330.41,"OUTLIER","NORMAL")</f>
        <v>NORMAL</v>
      </c>
      <c r="S1030" s="5">
        <v>0</v>
      </c>
    </row>
    <row r="1031" spans="1:19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 s="6">
        <v>87.06</v>
      </c>
      <c r="O1031">
        <v>2025</v>
      </c>
      <c r="P1031" s="3" t="s">
        <v>4297</v>
      </c>
      <c r="Q1031">
        <v>1</v>
      </c>
      <c r="R1031" t="str">
        <f>IF(Table1_2[[#This Row],[Total Price]]&gt;3330.41,"OUTLIER","NORMAL")</f>
        <v>NORMAL</v>
      </c>
      <c r="S1031" s="5">
        <v>0</v>
      </c>
    </row>
    <row r="1032" spans="1:19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 s="6">
        <v>981.12</v>
      </c>
      <c r="O1032">
        <v>2023</v>
      </c>
      <c r="P1032" s="3" t="s">
        <v>4290</v>
      </c>
      <c r="Q1032">
        <v>4</v>
      </c>
      <c r="R1032" t="str">
        <f>IF(Table1_2[[#This Row],[Total Price]]&gt;3330.41,"OUTLIER","NORMAL")</f>
        <v>NORMAL</v>
      </c>
      <c r="S1032" s="5">
        <v>0</v>
      </c>
    </row>
    <row r="1033" spans="1:19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 s="6">
        <v>3322.55</v>
      </c>
      <c r="O1033">
        <v>2023</v>
      </c>
      <c r="P1033" s="3" t="s">
        <v>4289</v>
      </c>
      <c r="Q1033">
        <v>1</v>
      </c>
      <c r="R1033" t="str">
        <f>IF(Table1_2[[#This Row],[Total Price]]&gt;3330.41,"OUTLIER","NORMAL")</f>
        <v>NORMAL</v>
      </c>
      <c r="S1033" s="5">
        <v>0</v>
      </c>
    </row>
    <row r="1034" spans="1:19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 s="6">
        <v>618.67999999999995</v>
      </c>
      <c r="O1034">
        <v>2023</v>
      </c>
      <c r="P1034" s="3" t="s">
        <v>4294</v>
      </c>
      <c r="Q1034">
        <v>2</v>
      </c>
      <c r="R1034" t="str">
        <f>IF(Table1_2[[#This Row],[Total Price]]&gt;3330.41,"OUTLIER","NORMAL")</f>
        <v>NORMAL</v>
      </c>
      <c r="S1034" s="5">
        <v>0</v>
      </c>
    </row>
    <row r="1035" spans="1:19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 s="6">
        <v>370.85</v>
      </c>
      <c r="O1035">
        <v>2024</v>
      </c>
      <c r="P1035" s="3" t="s">
        <v>4296</v>
      </c>
      <c r="Q1035">
        <v>4</v>
      </c>
      <c r="R1035" t="str">
        <f>IF(Table1_2[[#This Row],[Total Price]]&gt;3330.41,"OUTLIER","NORMAL")</f>
        <v>NORMAL</v>
      </c>
      <c r="S1035" s="5">
        <v>0</v>
      </c>
    </row>
    <row r="1036" spans="1:19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 s="6">
        <v>2071.92</v>
      </c>
      <c r="O1036">
        <v>2024</v>
      </c>
      <c r="P1036" s="3" t="s">
        <v>4292</v>
      </c>
      <c r="Q1036">
        <v>2</v>
      </c>
      <c r="R1036" t="str">
        <f>IF(Table1_2[[#This Row],[Total Price]]&gt;3330.41,"OUTLIER","NORMAL")</f>
        <v>NORMAL</v>
      </c>
      <c r="S1036" s="5">
        <v>0</v>
      </c>
    </row>
    <row r="1037" spans="1:19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4293</v>
      </c>
      <c r="M1037" s="3" t="s">
        <v>4279</v>
      </c>
      <c r="N1037" s="6">
        <v>2024.44</v>
      </c>
      <c r="O1037">
        <v>2023</v>
      </c>
      <c r="P1037" s="3" t="s">
        <v>4295</v>
      </c>
      <c r="Q1037">
        <v>4</v>
      </c>
      <c r="R1037" t="str">
        <f>IF(Table1_2[[#This Row],[Total Price]]&gt;3330.41,"OUTLIER","NORMAL")</f>
        <v>NORMAL</v>
      </c>
      <c r="S1037" s="5">
        <v>0</v>
      </c>
    </row>
    <row r="1038" spans="1:19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 s="6">
        <v>1241.49</v>
      </c>
      <c r="O1038">
        <v>2024</v>
      </c>
      <c r="P1038" s="3" t="s">
        <v>4291</v>
      </c>
      <c r="Q1038">
        <v>2</v>
      </c>
      <c r="R1038" t="str">
        <f>IF(Table1_2[[#This Row],[Total Price]]&gt;3330.41,"OUTLIER","NORMAL")</f>
        <v>NORMAL</v>
      </c>
      <c r="S1038" s="5">
        <v>0</v>
      </c>
    </row>
    <row r="1039" spans="1:19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 s="6">
        <v>249.81</v>
      </c>
      <c r="O1039">
        <v>2023</v>
      </c>
      <c r="P1039" s="3" t="s">
        <v>4296</v>
      </c>
      <c r="Q1039">
        <v>4</v>
      </c>
      <c r="R1039" t="str">
        <f>IF(Table1_2[[#This Row],[Total Price]]&gt;3330.41,"OUTLIER","NORMAL")</f>
        <v>NORMAL</v>
      </c>
      <c r="S1039" s="5">
        <v>0</v>
      </c>
    </row>
    <row r="1040" spans="1:19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4293</v>
      </c>
      <c r="M1040" s="3" t="s">
        <v>4281</v>
      </c>
      <c r="N1040" s="6">
        <v>1087.5899999999999</v>
      </c>
      <c r="O1040">
        <v>2025</v>
      </c>
      <c r="P1040" s="3" t="s">
        <v>4297</v>
      </c>
      <c r="Q1040">
        <v>1</v>
      </c>
      <c r="R1040" t="str">
        <f>IF(Table1_2[[#This Row],[Total Price]]&gt;3330.41,"OUTLIER","NORMAL")</f>
        <v>NORMAL</v>
      </c>
      <c r="S1040" s="5">
        <v>0</v>
      </c>
    </row>
    <row r="1041" spans="1:19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 s="6">
        <v>598.46</v>
      </c>
      <c r="O1041">
        <v>2025</v>
      </c>
      <c r="P1041" s="3" t="s">
        <v>4292</v>
      </c>
      <c r="Q1041">
        <v>2</v>
      </c>
      <c r="R1041" t="str">
        <f>IF(Table1_2[[#This Row],[Total Price]]&gt;3330.41,"OUTLIER","NORMAL")</f>
        <v>NORMAL</v>
      </c>
      <c r="S1041" s="5">
        <v>0</v>
      </c>
    </row>
    <row r="1042" spans="1:19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 s="6">
        <v>536.07000000000005</v>
      </c>
      <c r="O1042">
        <v>2023</v>
      </c>
      <c r="P1042" s="3" t="s">
        <v>4295</v>
      </c>
      <c r="Q1042">
        <v>4</v>
      </c>
      <c r="R1042" t="str">
        <f>IF(Table1_2[[#This Row],[Total Price]]&gt;3330.41,"OUTLIER","NORMAL")</f>
        <v>NORMAL</v>
      </c>
      <c r="S1042" s="5">
        <v>0</v>
      </c>
    </row>
    <row r="1043" spans="1:19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 s="6">
        <v>2235.6</v>
      </c>
      <c r="O1043">
        <v>2023</v>
      </c>
      <c r="P1043" s="3" t="s">
        <v>4289</v>
      </c>
      <c r="Q1043">
        <v>1</v>
      </c>
      <c r="R1043" t="str">
        <f>IF(Table1_2[[#This Row],[Total Price]]&gt;3330.41,"OUTLIER","NORMAL")</f>
        <v>NORMAL</v>
      </c>
      <c r="S1043" s="5">
        <v>0</v>
      </c>
    </row>
    <row r="1044" spans="1:19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 s="6">
        <v>819.5</v>
      </c>
      <c r="O1044">
        <v>2024</v>
      </c>
      <c r="P1044" s="3" t="s">
        <v>4296</v>
      </c>
      <c r="Q1044">
        <v>4</v>
      </c>
      <c r="R1044" t="str">
        <f>IF(Table1_2[[#This Row],[Total Price]]&gt;3330.41,"OUTLIER","NORMAL")</f>
        <v>NORMAL</v>
      </c>
      <c r="S1044" s="5">
        <v>0</v>
      </c>
    </row>
    <row r="1045" spans="1:19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4293</v>
      </c>
      <c r="M1045" s="3" t="s">
        <v>4278</v>
      </c>
      <c r="N1045" s="6">
        <v>359.92</v>
      </c>
      <c r="O1045">
        <v>2025</v>
      </c>
      <c r="P1045" s="3" t="s">
        <v>4287</v>
      </c>
      <c r="Q1045">
        <v>1</v>
      </c>
      <c r="R1045" t="str">
        <f>IF(Table1_2[[#This Row],[Total Price]]&gt;3330.41,"OUTLIER","NORMAL")</f>
        <v>NORMAL</v>
      </c>
      <c r="S1045" s="5">
        <v>0</v>
      </c>
    </row>
    <row r="1046" spans="1:19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 s="6">
        <v>38.49</v>
      </c>
      <c r="O1046">
        <v>2025</v>
      </c>
      <c r="P1046" s="3" t="s">
        <v>4292</v>
      </c>
      <c r="Q1046">
        <v>2</v>
      </c>
      <c r="R1046" t="str">
        <f>IF(Table1_2[[#This Row],[Total Price]]&gt;3330.41,"OUTLIER","NORMAL")</f>
        <v>NORMAL</v>
      </c>
      <c r="S1046" s="5">
        <v>0</v>
      </c>
    </row>
    <row r="1047" spans="1:19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4293</v>
      </c>
      <c r="M1047" s="3" t="s">
        <v>4280</v>
      </c>
      <c r="N1047" s="6">
        <v>1582</v>
      </c>
      <c r="O1047">
        <v>2024</v>
      </c>
      <c r="P1047" s="3" t="s">
        <v>4299</v>
      </c>
      <c r="Q1047">
        <v>3</v>
      </c>
      <c r="R1047" t="str">
        <f>IF(Table1_2[[#This Row],[Total Price]]&gt;3330.41,"OUTLIER","NORMAL")</f>
        <v>NORMAL</v>
      </c>
      <c r="S1047" s="5">
        <v>0</v>
      </c>
    </row>
    <row r="1048" spans="1:19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 s="6">
        <v>1641.45</v>
      </c>
      <c r="O1048">
        <v>2024</v>
      </c>
      <c r="P1048" s="3" t="s">
        <v>4290</v>
      </c>
      <c r="Q1048">
        <v>4</v>
      </c>
      <c r="R1048" t="str">
        <f>IF(Table1_2[[#This Row],[Total Price]]&gt;3330.41,"OUTLIER","NORMAL")</f>
        <v>NORMAL</v>
      </c>
      <c r="S1048" s="5">
        <v>0</v>
      </c>
    </row>
    <row r="1049" spans="1:19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 s="6">
        <v>2161.36</v>
      </c>
      <c r="O1049">
        <v>2023</v>
      </c>
      <c r="P1049" s="3" t="s">
        <v>4292</v>
      </c>
      <c r="Q1049">
        <v>2</v>
      </c>
      <c r="R1049" t="str">
        <f>IF(Table1_2[[#This Row],[Total Price]]&gt;3330.41,"OUTLIER","NORMAL")</f>
        <v>NORMAL</v>
      </c>
      <c r="S1049" s="5">
        <v>0</v>
      </c>
    </row>
    <row r="1050" spans="1:19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4293</v>
      </c>
      <c r="M1050" s="3" t="s">
        <v>4282</v>
      </c>
      <c r="N1050" s="6">
        <v>294.60000000000002</v>
      </c>
      <c r="O1050">
        <v>2024</v>
      </c>
      <c r="P1050" s="3" t="s">
        <v>4299</v>
      </c>
      <c r="Q1050">
        <v>3</v>
      </c>
      <c r="R1050" t="str">
        <f>IF(Table1_2[[#This Row],[Total Price]]&gt;3330.41,"OUTLIER","NORMAL")</f>
        <v>NORMAL</v>
      </c>
      <c r="S1050" s="5">
        <v>0</v>
      </c>
    </row>
    <row r="1051" spans="1:19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4293</v>
      </c>
      <c r="M1051" s="3" t="s">
        <v>4278</v>
      </c>
      <c r="N1051" s="6">
        <v>1959.3</v>
      </c>
      <c r="O1051">
        <v>2024</v>
      </c>
      <c r="P1051" s="3" t="s">
        <v>4298</v>
      </c>
      <c r="Q1051">
        <v>3</v>
      </c>
      <c r="R1051" t="str">
        <f>IF(Table1_2[[#This Row],[Total Price]]&gt;3330.41,"OUTLIER","NORMAL")</f>
        <v>NORMAL</v>
      </c>
      <c r="S1051" s="5">
        <v>0</v>
      </c>
    </row>
    <row r="1052" spans="1:19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4293</v>
      </c>
      <c r="M1052" s="3" t="s">
        <v>4278</v>
      </c>
      <c r="N1052" s="6">
        <v>348.5</v>
      </c>
      <c r="O1052">
        <v>2023</v>
      </c>
      <c r="P1052" s="3" t="s">
        <v>4288</v>
      </c>
      <c r="Q1052">
        <v>3</v>
      </c>
      <c r="R1052" t="str">
        <f>IF(Table1_2[[#This Row],[Total Price]]&gt;3330.41,"OUTLIER","NORMAL")</f>
        <v>NORMAL</v>
      </c>
      <c r="S1052" s="5">
        <v>0</v>
      </c>
    </row>
    <row r="1053" spans="1:19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 s="6">
        <v>132.15</v>
      </c>
      <c r="O1053">
        <v>2025</v>
      </c>
      <c r="P1053" s="3" t="s">
        <v>4297</v>
      </c>
      <c r="Q1053">
        <v>1</v>
      </c>
      <c r="R1053" t="str">
        <f>IF(Table1_2[[#This Row],[Total Price]]&gt;3330.41,"OUTLIER","NORMAL")</f>
        <v>NORMAL</v>
      </c>
      <c r="S1053" s="5">
        <v>0</v>
      </c>
    </row>
    <row r="1054" spans="1:19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 s="6">
        <v>531.74</v>
      </c>
      <c r="O1054">
        <v>2023</v>
      </c>
      <c r="P1054" s="3" t="s">
        <v>4299</v>
      </c>
      <c r="Q1054">
        <v>3</v>
      </c>
      <c r="R1054" t="str">
        <f>IF(Table1_2[[#This Row],[Total Price]]&gt;3330.41,"OUTLIER","NORMAL")</f>
        <v>NORMAL</v>
      </c>
      <c r="S1054" s="5">
        <v>0</v>
      </c>
    </row>
    <row r="1055" spans="1:19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 s="6">
        <v>993.24</v>
      </c>
      <c r="O1055">
        <v>2024</v>
      </c>
      <c r="P1055" s="3" t="s">
        <v>4299</v>
      </c>
      <c r="Q1055">
        <v>3</v>
      </c>
      <c r="R1055" t="str">
        <f>IF(Table1_2[[#This Row],[Total Price]]&gt;3330.41,"OUTLIER","NORMAL")</f>
        <v>NORMAL</v>
      </c>
      <c r="S1055" s="5">
        <v>0</v>
      </c>
    </row>
    <row r="1056" spans="1:19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 s="6">
        <v>660.66</v>
      </c>
      <c r="O1056">
        <v>2023</v>
      </c>
      <c r="P1056" s="3" t="s">
        <v>4295</v>
      </c>
      <c r="Q1056">
        <v>4</v>
      </c>
      <c r="R1056" t="str">
        <f>IF(Table1_2[[#This Row],[Total Price]]&gt;3330.41,"OUTLIER","NORMAL")</f>
        <v>NORMAL</v>
      </c>
      <c r="S1056" s="5">
        <v>0</v>
      </c>
    </row>
    <row r="1057" spans="1:19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 s="6">
        <v>1099.28</v>
      </c>
      <c r="O1057">
        <v>2023</v>
      </c>
      <c r="P1057" s="3" t="s">
        <v>4290</v>
      </c>
      <c r="Q1057">
        <v>4</v>
      </c>
      <c r="R1057" t="str">
        <f>IF(Table1_2[[#This Row],[Total Price]]&gt;3330.41,"OUTLIER","NORMAL")</f>
        <v>NORMAL</v>
      </c>
      <c r="S1057" s="5">
        <v>0</v>
      </c>
    </row>
    <row r="1058" spans="1:19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 s="6">
        <v>972.7</v>
      </c>
      <c r="O1058">
        <v>2024</v>
      </c>
      <c r="P1058" s="3" t="s">
        <v>4292</v>
      </c>
      <c r="Q1058">
        <v>2</v>
      </c>
      <c r="R1058" t="str">
        <f>IF(Table1_2[[#This Row],[Total Price]]&gt;3330.41,"OUTLIER","NORMAL")</f>
        <v>NORMAL</v>
      </c>
      <c r="S1058" s="5">
        <v>0</v>
      </c>
    </row>
    <row r="1059" spans="1:19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 s="6">
        <v>1286.6400000000001</v>
      </c>
      <c r="O1059">
        <v>2024</v>
      </c>
      <c r="P1059" s="3" t="s">
        <v>4299</v>
      </c>
      <c r="Q1059">
        <v>3</v>
      </c>
      <c r="R1059" t="str">
        <f>IF(Table1_2[[#This Row],[Total Price]]&gt;3330.41,"OUTLIER","NORMAL")</f>
        <v>NORMAL</v>
      </c>
      <c r="S1059" s="5">
        <v>0</v>
      </c>
    </row>
    <row r="1060" spans="1:19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 s="6">
        <v>824.28</v>
      </c>
      <c r="O1060">
        <v>2023</v>
      </c>
      <c r="P1060" s="3" t="s">
        <v>4299</v>
      </c>
      <c r="Q1060">
        <v>3</v>
      </c>
      <c r="R1060" t="str">
        <f>IF(Table1_2[[#This Row],[Total Price]]&gt;3330.41,"OUTLIER","NORMAL")</f>
        <v>NORMAL</v>
      </c>
      <c r="S1060" s="5">
        <v>0</v>
      </c>
    </row>
    <row r="1061" spans="1:19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 s="6">
        <v>265.64</v>
      </c>
      <c r="O1061">
        <v>2024</v>
      </c>
      <c r="P1061" s="3" t="s">
        <v>4299</v>
      </c>
      <c r="Q1061">
        <v>3</v>
      </c>
      <c r="R1061" t="str">
        <f>IF(Table1_2[[#This Row],[Total Price]]&gt;3330.41,"OUTLIER","NORMAL")</f>
        <v>NORMAL</v>
      </c>
      <c r="S1061" s="5">
        <v>0</v>
      </c>
    </row>
    <row r="1062" spans="1:19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 s="6">
        <v>546.86</v>
      </c>
      <c r="O1062">
        <v>2024</v>
      </c>
      <c r="P1062" s="3" t="s">
        <v>4291</v>
      </c>
      <c r="Q1062">
        <v>2</v>
      </c>
      <c r="R1062" t="str">
        <f>IF(Table1_2[[#This Row],[Total Price]]&gt;3330.41,"OUTLIER","NORMAL")</f>
        <v>NORMAL</v>
      </c>
      <c r="S1062" s="5">
        <v>0</v>
      </c>
    </row>
    <row r="1063" spans="1:19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 s="6">
        <v>658.5</v>
      </c>
      <c r="O1063">
        <v>2025</v>
      </c>
      <c r="P1063" s="3" t="s">
        <v>4287</v>
      </c>
      <c r="Q1063">
        <v>1</v>
      </c>
      <c r="R1063" t="str">
        <f>IF(Table1_2[[#This Row],[Total Price]]&gt;3330.41,"OUTLIER","NORMAL")</f>
        <v>NORMAL</v>
      </c>
      <c r="S1063" s="5">
        <v>0</v>
      </c>
    </row>
    <row r="1064" spans="1:19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4293</v>
      </c>
      <c r="M1064" s="3" t="s">
        <v>4281</v>
      </c>
      <c r="N1064" s="6">
        <v>427.6</v>
      </c>
      <c r="O1064">
        <v>2023</v>
      </c>
      <c r="P1064" s="3" t="s">
        <v>4288</v>
      </c>
      <c r="Q1064">
        <v>3</v>
      </c>
      <c r="R1064" t="str">
        <f>IF(Table1_2[[#This Row],[Total Price]]&gt;3330.41,"OUTLIER","NORMAL")</f>
        <v>NORMAL</v>
      </c>
      <c r="S1064" s="5">
        <v>0</v>
      </c>
    </row>
    <row r="1065" spans="1:19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 s="6">
        <v>641.36</v>
      </c>
      <c r="O1065">
        <v>2024</v>
      </c>
      <c r="P1065" s="3" t="s">
        <v>4292</v>
      </c>
      <c r="Q1065">
        <v>2</v>
      </c>
      <c r="R1065" t="str">
        <f>IF(Table1_2[[#This Row],[Total Price]]&gt;3330.41,"OUTLIER","NORMAL")</f>
        <v>NORMAL</v>
      </c>
      <c r="S1065" s="5">
        <v>0</v>
      </c>
    </row>
    <row r="1066" spans="1:19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 s="6">
        <v>795.24</v>
      </c>
      <c r="O1066">
        <v>2025</v>
      </c>
      <c r="P1066" s="3" t="s">
        <v>4289</v>
      </c>
      <c r="Q1066">
        <v>1</v>
      </c>
      <c r="R1066" t="str">
        <f>IF(Table1_2[[#This Row],[Total Price]]&gt;3330.41,"OUTLIER","NORMAL")</f>
        <v>NORMAL</v>
      </c>
      <c r="S1066" s="5">
        <v>0</v>
      </c>
    </row>
    <row r="1067" spans="1:19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 s="6">
        <v>3334</v>
      </c>
      <c r="O1067">
        <v>2023</v>
      </c>
      <c r="P1067" s="3" t="s">
        <v>4290</v>
      </c>
      <c r="Q1067">
        <v>4</v>
      </c>
      <c r="R1067" t="str">
        <f>IF(Table1_2[[#This Row],[Total Price]]&gt;3330.41,"OUTLIER","NORMAL")</f>
        <v>OUTLIER</v>
      </c>
      <c r="S1067" s="5">
        <v>0</v>
      </c>
    </row>
    <row r="1068" spans="1:19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 s="6">
        <v>355.09</v>
      </c>
      <c r="O1068">
        <v>2023</v>
      </c>
      <c r="P1068" s="3" t="s">
        <v>4296</v>
      </c>
      <c r="Q1068">
        <v>4</v>
      </c>
      <c r="R1068" t="str">
        <f>IF(Table1_2[[#This Row],[Total Price]]&gt;3330.41,"OUTLIER","NORMAL")</f>
        <v>NORMAL</v>
      </c>
      <c r="S1068" s="5">
        <v>0</v>
      </c>
    </row>
    <row r="1069" spans="1:19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4293</v>
      </c>
      <c r="M1069" s="3" t="s">
        <v>4278</v>
      </c>
      <c r="N1069" s="6">
        <v>632.4</v>
      </c>
      <c r="O1069">
        <v>2023</v>
      </c>
      <c r="P1069" s="3" t="s">
        <v>4292</v>
      </c>
      <c r="Q1069">
        <v>2</v>
      </c>
      <c r="R1069" t="str">
        <f>IF(Table1_2[[#This Row],[Total Price]]&gt;3330.41,"OUTLIER","NORMAL")</f>
        <v>NORMAL</v>
      </c>
      <c r="S1069" s="5">
        <v>0</v>
      </c>
    </row>
    <row r="1070" spans="1:19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 s="6">
        <v>133.38999999999999</v>
      </c>
      <c r="O1070">
        <v>2024</v>
      </c>
      <c r="P1070" s="3" t="s">
        <v>4288</v>
      </c>
      <c r="Q1070">
        <v>3</v>
      </c>
      <c r="R1070" t="str">
        <f>IF(Table1_2[[#This Row],[Total Price]]&gt;3330.41,"OUTLIER","NORMAL")</f>
        <v>NORMAL</v>
      </c>
      <c r="S1070" s="5">
        <v>0</v>
      </c>
    </row>
    <row r="1071" spans="1:19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4293</v>
      </c>
      <c r="M1071" s="3" t="s">
        <v>4281</v>
      </c>
      <c r="N1071" s="6">
        <v>454.23</v>
      </c>
      <c r="O1071">
        <v>2023</v>
      </c>
      <c r="P1071" s="3" t="s">
        <v>4289</v>
      </c>
      <c r="Q1071">
        <v>1</v>
      </c>
      <c r="R1071" t="str">
        <f>IF(Table1_2[[#This Row],[Total Price]]&gt;3330.41,"OUTLIER","NORMAL")</f>
        <v>NORMAL</v>
      </c>
      <c r="S1071" s="5">
        <v>0</v>
      </c>
    </row>
    <row r="1072" spans="1:19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4293</v>
      </c>
      <c r="M1072" s="3" t="s">
        <v>4280</v>
      </c>
      <c r="N1072" s="6">
        <v>1965.16</v>
      </c>
      <c r="O1072">
        <v>2024</v>
      </c>
      <c r="P1072" s="3" t="s">
        <v>4299</v>
      </c>
      <c r="Q1072">
        <v>3</v>
      </c>
      <c r="R1072" t="str">
        <f>IF(Table1_2[[#This Row],[Total Price]]&gt;3330.41,"OUTLIER","NORMAL")</f>
        <v>NORMAL</v>
      </c>
      <c r="S1072" s="5">
        <v>0</v>
      </c>
    </row>
    <row r="1073" spans="1:19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4293</v>
      </c>
      <c r="M1073" s="3" t="s">
        <v>4282</v>
      </c>
      <c r="N1073" s="6">
        <v>510.28</v>
      </c>
      <c r="O1073">
        <v>2025</v>
      </c>
      <c r="P1073" s="3" t="s">
        <v>4292</v>
      </c>
      <c r="Q1073">
        <v>2</v>
      </c>
      <c r="R1073" t="str">
        <f>IF(Table1_2[[#This Row],[Total Price]]&gt;3330.41,"OUTLIER","NORMAL")</f>
        <v>NORMAL</v>
      </c>
      <c r="S1073" s="5">
        <v>0</v>
      </c>
    </row>
    <row r="1074" spans="1:19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 s="6">
        <v>392.61</v>
      </c>
      <c r="O1074">
        <v>2023</v>
      </c>
      <c r="P1074" s="3" t="s">
        <v>4289</v>
      </c>
      <c r="Q1074">
        <v>1</v>
      </c>
      <c r="R1074" t="str">
        <f>IF(Table1_2[[#This Row],[Total Price]]&gt;3330.41,"OUTLIER","NORMAL")</f>
        <v>NORMAL</v>
      </c>
      <c r="S1074" s="5">
        <v>0</v>
      </c>
    </row>
    <row r="1075" spans="1:19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4293</v>
      </c>
      <c r="M1075" s="3" t="s">
        <v>4281</v>
      </c>
      <c r="N1075" s="6">
        <v>1448.24</v>
      </c>
      <c r="O1075">
        <v>2024</v>
      </c>
      <c r="P1075" s="3" t="s">
        <v>4290</v>
      </c>
      <c r="Q1075">
        <v>4</v>
      </c>
      <c r="R1075" t="str">
        <f>IF(Table1_2[[#This Row],[Total Price]]&gt;3330.41,"OUTLIER","NORMAL")</f>
        <v>NORMAL</v>
      </c>
      <c r="S1075" s="5">
        <v>0</v>
      </c>
    </row>
    <row r="1076" spans="1:19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4293</v>
      </c>
      <c r="M1076" s="3" t="s">
        <v>4282</v>
      </c>
      <c r="N1076" s="6">
        <v>222.73</v>
      </c>
      <c r="O1076">
        <v>2024</v>
      </c>
      <c r="P1076" s="3" t="s">
        <v>4291</v>
      </c>
      <c r="Q1076">
        <v>2</v>
      </c>
      <c r="R1076" t="str">
        <f>IF(Table1_2[[#This Row],[Total Price]]&gt;3330.41,"OUTLIER","NORMAL")</f>
        <v>NORMAL</v>
      </c>
      <c r="S1076" s="5">
        <v>0</v>
      </c>
    </row>
    <row r="1077" spans="1:19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 s="6">
        <v>1105.26</v>
      </c>
      <c r="O1077">
        <v>2024</v>
      </c>
      <c r="P1077" s="3" t="s">
        <v>4288</v>
      </c>
      <c r="Q1077">
        <v>3</v>
      </c>
      <c r="R1077" t="str">
        <f>IF(Table1_2[[#This Row],[Total Price]]&gt;3330.41,"OUTLIER","NORMAL")</f>
        <v>NORMAL</v>
      </c>
      <c r="S1077" s="5">
        <v>0</v>
      </c>
    </row>
    <row r="1078" spans="1:19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4293</v>
      </c>
      <c r="M1078" s="3" t="s">
        <v>4279</v>
      </c>
      <c r="N1078" s="6">
        <v>2746.44</v>
      </c>
      <c r="O1078">
        <v>2023</v>
      </c>
      <c r="P1078" s="3" t="s">
        <v>4291</v>
      </c>
      <c r="Q1078">
        <v>2</v>
      </c>
      <c r="R1078" t="str">
        <f>IF(Table1_2[[#This Row],[Total Price]]&gt;3330.41,"OUTLIER","NORMAL")</f>
        <v>NORMAL</v>
      </c>
      <c r="S1078" s="5">
        <v>0</v>
      </c>
    </row>
    <row r="1079" spans="1:19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 s="6">
        <v>915.48</v>
      </c>
      <c r="O1079">
        <v>2025</v>
      </c>
      <c r="P1079" s="3" t="s">
        <v>4297</v>
      </c>
      <c r="Q1079">
        <v>1</v>
      </c>
      <c r="R1079" t="str">
        <f>IF(Table1_2[[#This Row],[Total Price]]&gt;3330.41,"OUTLIER","NORMAL")</f>
        <v>NORMAL</v>
      </c>
      <c r="S1079" s="5">
        <v>0</v>
      </c>
    </row>
    <row r="1080" spans="1:19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 s="6">
        <v>41.09</v>
      </c>
      <c r="O1080">
        <v>2023</v>
      </c>
      <c r="P1080" s="3" t="s">
        <v>4297</v>
      </c>
      <c r="Q1080">
        <v>1</v>
      </c>
      <c r="R1080" t="str">
        <f>IF(Table1_2[[#This Row],[Total Price]]&gt;3330.41,"OUTLIER","NORMAL")</f>
        <v>NORMAL</v>
      </c>
      <c r="S1080" s="5">
        <v>0</v>
      </c>
    </row>
    <row r="1081" spans="1:19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4293</v>
      </c>
      <c r="M1081" s="3" t="s">
        <v>4280</v>
      </c>
      <c r="N1081" s="6">
        <v>3170</v>
      </c>
      <c r="O1081">
        <v>2024</v>
      </c>
      <c r="P1081" s="3" t="s">
        <v>4292</v>
      </c>
      <c r="Q1081">
        <v>2</v>
      </c>
      <c r="R1081" t="str">
        <f>IF(Table1_2[[#This Row],[Total Price]]&gt;3330.41,"OUTLIER","NORMAL")</f>
        <v>NORMAL</v>
      </c>
      <c r="S1081" s="5">
        <v>0</v>
      </c>
    </row>
    <row r="1082" spans="1:19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4293</v>
      </c>
      <c r="M1082" s="3" t="s">
        <v>4279</v>
      </c>
      <c r="N1082" s="6">
        <v>2323.6999999999998</v>
      </c>
      <c r="O1082">
        <v>2023</v>
      </c>
      <c r="P1082" s="3" t="s">
        <v>4287</v>
      </c>
      <c r="Q1082">
        <v>1</v>
      </c>
      <c r="R1082" t="str">
        <f>IF(Table1_2[[#This Row],[Total Price]]&gt;3330.41,"OUTLIER","NORMAL")</f>
        <v>NORMAL</v>
      </c>
      <c r="S1082" s="5">
        <v>0</v>
      </c>
    </row>
    <row r="1083" spans="1:19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 s="6">
        <v>1702.4</v>
      </c>
      <c r="O1083">
        <v>2023</v>
      </c>
      <c r="P1083" s="3" t="s">
        <v>4294</v>
      </c>
      <c r="Q1083">
        <v>2</v>
      </c>
      <c r="R1083" t="str">
        <f>IF(Table1_2[[#This Row],[Total Price]]&gt;3330.41,"OUTLIER","NORMAL")</f>
        <v>NORMAL</v>
      </c>
      <c r="S1083" s="5">
        <v>0</v>
      </c>
    </row>
    <row r="1084" spans="1:19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 s="6">
        <v>1719.66</v>
      </c>
      <c r="O1084">
        <v>2023</v>
      </c>
      <c r="P1084" s="3" t="s">
        <v>4290</v>
      </c>
      <c r="Q1084">
        <v>4</v>
      </c>
      <c r="R1084" t="str">
        <f>IF(Table1_2[[#This Row],[Total Price]]&gt;3330.41,"OUTLIER","NORMAL")</f>
        <v>NORMAL</v>
      </c>
      <c r="S1084" s="5">
        <v>0</v>
      </c>
    </row>
    <row r="1085" spans="1:19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 s="6">
        <v>123.28</v>
      </c>
      <c r="O1085">
        <v>2024</v>
      </c>
      <c r="P1085" s="3" t="s">
        <v>4298</v>
      </c>
      <c r="Q1085">
        <v>3</v>
      </c>
      <c r="R1085" t="str">
        <f>IF(Table1_2[[#This Row],[Total Price]]&gt;3330.41,"OUTLIER","NORMAL")</f>
        <v>NORMAL</v>
      </c>
      <c r="S1085" s="5">
        <v>0</v>
      </c>
    </row>
    <row r="1086" spans="1:19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 s="6">
        <v>70.819999999999993</v>
      </c>
      <c r="O1086">
        <v>2023</v>
      </c>
      <c r="P1086" s="3" t="s">
        <v>4287</v>
      </c>
      <c r="Q1086">
        <v>1</v>
      </c>
      <c r="R1086" t="str">
        <f>IF(Table1_2[[#This Row],[Total Price]]&gt;3330.41,"OUTLIER","NORMAL")</f>
        <v>NORMAL</v>
      </c>
      <c r="S1086" s="5">
        <v>0</v>
      </c>
    </row>
    <row r="1087" spans="1:19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 s="6">
        <v>1293.3800000000001</v>
      </c>
      <c r="O1087">
        <v>2023</v>
      </c>
      <c r="P1087" s="3" t="s">
        <v>4291</v>
      </c>
      <c r="Q1087">
        <v>2</v>
      </c>
      <c r="R1087" t="str">
        <f>IF(Table1_2[[#This Row],[Total Price]]&gt;3330.41,"OUTLIER","NORMAL")</f>
        <v>NORMAL</v>
      </c>
      <c r="S1087" s="5">
        <v>0</v>
      </c>
    </row>
    <row r="1088" spans="1:19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 s="6">
        <v>1026.8399999999999</v>
      </c>
      <c r="O1088">
        <v>2023</v>
      </c>
      <c r="P1088" s="3" t="s">
        <v>4296</v>
      </c>
      <c r="Q1088">
        <v>4</v>
      </c>
      <c r="R1088" t="str">
        <f>IF(Table1_2[[#This Row],[Total Price]]&gt;3330.41,"OUTLIER","NORMAL")</f>
        <v>NORMAL</v>
      </c>
      <c r="S1088" s="5">
        <v>0</v>
      </c>
    </row>
    <row r="1089" spans="1:19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 s="6">
        <v>2772.28</v>
      </c>
      <c r="O1089">
        <v>2025</v>
      </c>
      <c r="P1089" s="3" t="s">
        <v>4297</v>
      </c>
      <c r="Q1089">
        <v>1</v>
      </c>
      <c r="R1089" t="str">
        <f>IF(Table1_2[[#This Row],[Total Price]]&gt;3330.41,"OUTLIER","NORMAL")</f>
        <v>NORMAL</v>
      </c>
      <c r="S1089" s="5">
        <v>0</v>
      </c>
    </row>
    <row r="1090" spans="1:19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 s="6">
        <v>1474.29</v>
      </c>
      <c r="O1090">
        <v>2023</v>
      </c>
      <c r="P1090" s="3" t="s">
        <v>4295</v>
      </c>
      <c r="Q1090">
        <v>4</v>
      </c>
      <c r="R1090" t="str">
        <f>IF(Table1_2[[#This Row],[Total Price]]&gt;3330.41,"OUTLIER","NORMAL")</f>
        <v>NORMAL</v>
      </c>
      <c r="S1090" s="5">
        <v>0</v>
      </c>
    </row>
    <row r="1091" spans="1:19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4293</v>
      </c>
      <c r="M1091" s="3" t="s">
        <v>4278</v>
      </c>
      <c r="N1091" s="6">
        <v>1199.48</v>
      </c>
      <c r="O1091">
        <v>2025</v>
      </c>
      <c r="P1091" s="3" t="s">
        <v>4297</v>
      </c>
      <c r="Q1091">
        <v>1</v>
      </c>
      <c r="R1091" t="str">
        <f>IF(Table1_2[[#This Row],[Total Price]]&gt;3330.41,"OUTLIER","NORMAL")</f>
        <v>NORMAL</v>
      </c>
      <c r="S1091" s="5">
        <v>0</v>
      </c>
    </row>
    <row r="1092" spans="1:19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4293</v>
      </c>
      <c r="M1092" s="3" t="s">
        <v>4278</v>
      </c>
      <c r="N1092" s="6">
        <v>1300.5</v>
      </c>
      <c r="O1092">
        <v>2023</v>
      </c>
      <c r="P1092" s="3" t="s">
        <v>4289</v>
      </c>
      <c r="Q1092">
        <v>1</v>
      </c>
      <c r="R1092" t="str">
        <f>IF(Table1_2[[#This Row],[Total Price]]&gt;3330.41,"OUTLIER","NORMAL")</f>
        <v>NORMAL</v>
      </c>
      <c r="S1092" s="5">
        <v>0</v>
      </c>
    </row>
    <row r="1093" spans="1:19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4293</v>
      </c>
      <c r="M1093" s="3" t="s">
        <v>4280</v>
      </c>
      <c r="N1093" s="6">
        <v>628.43999999999994</v>
      </c>
      <c r="O1093">
        <v>2024</v>
      </c>
      <c r="P1093" s="3" t="s">
        <v>4290</v>
      </c>
      <c r="Q1093">
        <v>4</v>
      </c>
      <c r="R1093" t="str">
        <f>IF(Table1_2[[#This Row],[Total Price]]&gt;3330.41,"OUTLIER","NORMAL")</f>
        <v>NORMAL</v>
      </c>
      <c r="S1093" s="5">
        <v>0</v>
      </c>
    </row>
    <row r="1094" spans="1:19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 s="6">
        <v>1046</v>
      </c>
      <c r="O1094">
        <v>2023</v>
      </c>
      <c r="P1094" s="3" t="s">
        <v>4288</v>
      </c>
      <c r="Q1094">
        <v>3</v>
      </c>
      <c r="R1094" t="str">
        <f>IF(Table1_2[[#This Row],[Total Price]]&gt;3330.41,"OUTLIER","NORMAL")</f>
        <v>NORMAL</v>
      </c>
      <c r="S1094" s="5">
        <v>0</v>
      </c>
    </row>
    <row r="1095" spans="1:19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 s="6">
        <v>789.44</v>
      </c>
      <c r="O1095">
        <v>2023</v>
      </c>
      <c r="P1095" s="3" t="s">
        <v>4292</v>
      </c>
      <c r="Q1095">
        <v>2</v>
      </c>
      <c r="R1095" t="str">
        <f>IF(Table1_2[[#This Row],[Total Price]]&gt;3330.41,"OUTLIER","NORMAL")</f>
        <v>NORMAL</v>
      </c>
      <c r="S1095" s="5">
        <v>0</v>
      </c>
    </row>
    <row r="1096" spans="1:19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 s="6">
        <v>2595.64</v>
      </c>
      <c r="O1096">
        <v>2023</v>
      </c>
      <c r="P1096" s="3" t="s">
        <v>4292</v>
      </c>
      <c r="Q1096">
        <v>2</v>
      </c>
      <c r="R1096" t="str">
        <f>IF(Table1_2[[#This Row],[Total Price]]&gt;3330.41,"OUTLIER","NORMAL")</f>
        <v>NORMAL</v>
      </c>
      <c r="S1096" s="5">
        <v>0</v>
      </c>
    </row>
    <row r="1097" spans="1:19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 s="6">
        <v>883.08</v>
      </c>
      <c r="O1097">
        <v>2024</v>
      </c>
      <c r="P1097" s="3" t="s">
        <v>4294</v>
      </c>
      <c r="Q1097">
        <v>2</v>
      </c>
      <c r="R1097" t="str">
        <f>IF(Table1_2[[#This Row],[Total Price]]&gt;3330.41,"OUTLIER","NORMAL")</f>
        <v>NORMAL</v>
      </c>
      <c r="S1097" s="5">
        <v>0</v>
      </c>
    </row>
    <row r="1098" spans="1:19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4293</v>
      </c>
      <c r="M1098" s="3" t="s">
        <v>4281</v>
      </c>
      <c r="N1098" s="6">
        <v>929.84</v>
      </c>
      <c r="O1098">
        <v>2025</v>
      </c>
      <c r="P1098" s="3" t="s">
        <v>4291</v>
      </c>
      <c r="Q1098">
        <v>2</v>
      </c>
      <c r="R1098" t="str">
        <f>IF(Table1_2[[#This Row],[Total Price]]&gt;3330.41,"OUTLIER","NORMAL")</f>
        <v>NORMAL</v>
      </c>
      <c r="S1098" s="5">
        <v>0</v>
      </c>
    </row>
    <row r="1099" spans="1:19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 s="6">
        <v>2532.25</v>
      </c>
      <c r="O1099">
        <v>2024</v>
      </c>
      <c r="P1099" s="3" t="s">
        <v>4296</v>
      </c>
      <c r="Q1099">
        <v>4</v>
      </c>
      <c r="R1099" t="str">
        <f>IF(Table1_2[[#This Row],[Total Price]]&gt;3330.41,"OUTLIER","NORMAL")</f>
        <v>NORMAL</v>
      </c>
      <c r="S1099" s="5">
        <v>0</v>
      </c>
    </row>
    <row r="1100" spans="1:19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4293</v>
      </c>
      <c r="M1100" s="3" t="s">
        <v>4280</v>
      </c>
      <c r="N1100" s="6">
        <v>1023.44</v>
      </c>
      <c r="O1100">
        <v>2023</v>
      </c>
      <c r="P1100" s="3" t="s">
        <v>4292</v>
      </c>
      <c r="Q1100">
        <v>2</v>
      </c>
      <c r="R1100" t="str">
        <f>IF(Table1_2[[#This Row],[Total Price]]&gt;3330.41,"OUTLIER","NORMAL")</f>
        <v>NORMAL</v>
      </c>
      <c r="S1100" s="5">
        <v>0</v>
      </c>
    </row>
    <row r="1101" spans="1:19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 s="6">
        <v>250.46</v>
      </c>
      <c r="O1101">
        <v>2024</v>
      </c>
      <c r="P1101" s="3" t="s">
        <v>4299</v>
      </c>
      <c r="Q1101">
        <v>3</v>
      </c>
      <c r="R1101" t="str">
        <f>IF(Table1_2[[#This Row],[Total Price]]&gt;3330.41,"OUTLIER","NORMAL")</f>
        <v>NORMAL</v>
      </c>
      <c r="S1101" s="5">
        <v>0</v>
      </c>
    </row>
    <row r="1102" spans="1:19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 s="6">
        <v>190.55</v>
      </c>
      <c r="O1102">
        <v>2023</v>
      </c>
      <c r="P1102" s="3" t="s">
        <v>4288</v>
      </c>
      <c r="Q1102">
        <v>3</v>
      </c>
      <c r="R1102" t="str">
        <f>IF(Table1_2[[#This Row],[Total Price]]&gt;3330.41,"OUTLIER","NORMAL")</f>
        <v>NORMAL</v>
      </c>
      <c r="S1102" s="5">
        <v>0</v>
      </c>
    </row>
    <row r="1103" spans="1:19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 s="6">
        <v>485.91</v>
      </c>
      <c r="O1103">
        <v>2025</v>
      </c>
      <c r="P1103" s="3" t="s">
        <v>4292</v>
      </c>
      <c r="Q1103">
        <v>2</v>
      </c>
      <c r="R1103" t="str">
        <f>IF(Table1_2[[#This Row],[Total Price]]&gt;3330.41,"OUTLIER","NORMAL")</f>
        <v>NORMAL</v>
      </c>
      <c r="S1103" s="5">
        <v>0</v>
      </c>
    </row>
    <row r="1104" spans="1:19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4293</v>
      </c>
      <c r="M1104" s="3" t="s">
        <v>4278</v>
      </c>
      <c r="N1104" s="6">
        <v>1388.68</v>
      </c>
      <c r="O1104">
        <v>2024</v>
      </c>
      <c r="P1104" s="3" t="s">
        <v>4292</v>
      </c>
      <c r="Q1104">
        <v>2</v>
      </c>
      <c r="R1104" t="str">
        <f>IF(Table1_2[[#This Row],[Total Price]]&gt;3330.41,"OUTLIER","NORMAL")</f>
        <v>NORMAL</v>
      </c>
      <c r="S1104" s="5">
        <v>0</v>
      </c>
    </row>
    <row r="1105" spans="1:19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4293</v>
      </c>
      <c r="M1105" s="3" t="s">
        <v>4282</v>
      </c>
      <c r="N1105" s="6">
        <v>1105.28</v>
      </c>
      <c r="O1105">
        <v>2023</v>
      </c>
      <c r="P1105" s="3" t="s">
        <v>4294</v>
      </c>
      <c r="Q1105">
        <v>2</v>
      </c>
      <c r="R1105" t="str">
        <f>IF(Table1_2[[#This Row],[Total Price]]&gt;3330.41,"OUTLIER","NORMAL")</f>
        <v>NORMAL</v>
      </c>
      <c r="S1105" s="5">
        <v>0</v>
      </c>
    </row>
    <row r="1106" spans="1:19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4293</v>
      </c>
      <c r="M1106" s="3" t="s">
        <v>4278</v>
      </c>
      <c r="N1106" s="6">
        <v>1259.04</v>
      </c>
      <c r="O1106">
        <v>2024</v>
      </c>
      <c r="P1106" s="3" t="s">
        <v>4298</v>
      </c>
      <c r="Q1106">
        <v>3</v>
      </c>
      <c r="R1106" t="str">
        <f>IF(Table1_2[[#This Row],[Total Price]]&gt;3330.41,"OUTLIER","NORMAL")</f>
        <v>NORMAL</v>
      </c>
      <c r="S1106" s="5">
        <v>0</v>
      </c>
    </row>
    <row r="1107" spans="1:19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 s="6">
        <v>1427.07</v>
      </c>
      <c r="O1107">
        <v>2024</v>
      </c>
      <c r="P1107" s="3" t="s">
        <v>4287</v>
      </c>
      <c r="Q1107">
        <v>1</v>
      </c>
      <c r="R1107" t="str">
        <f>IF(Table1_2[[#This Row],[Total Price]]&gt;3330.41,"OUTLIER","NORMAL")</f>
        <v>NORMAL</v>
      </c>
      <c r="S1107" s="5">
        <v>0</v>
      </c>
    </row>
    <row r="1108" spans="1:19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 s="6">
        <v>372.8</v>
      </c>
      <c r="O1108">
        <v>2023</v>
      </c>
      <c r="P1108" s="3" t="s">
        <v>4297</v>
      </c>
      <c r="Q1108">
        <v>1</v>
      </c>
      <c r="R1108" t="str">
        <f>IF(Table1_2[[#This Row],[Total Price]]&gt;3330.41,"OUTLIER","NORMAL")</f>
        <v>NORMAL</v>
      </c>
      <c r="S1108" s="5">
        <v>0</v>
      </c>
    </row>
    <row r="1109" spans="1:19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 s="6">
        <v>126.42</v>
      </c>
      <c r="O1109">
        <v>2025</v>
      </c>
      <c r="P1109" s="3" t="s">
        <v>4292</v>
      </c>
      <c r="Q1109">
        <v>2</v>
      </c>
      <c r="R1109" t="str">
        <f>IF(Table1_2[[#This Row],[Total Price]]&gt;3330.41,"OUTLIER","NORMAL")</f>
        <v>NORMAL</v>
      </c>
      <c r="S1109" s="5">
        <v>0</v>
      </c>
    </row>
    <row r="1110" spans="1:19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 s="6">
        <v>634.94000000000005</v>
      </c>
      <c r="O1110">
        <v>2023</v>
      </c>
      <c r="P1110" s="3" t="s">
        <v>4297</v>
      </c>
      <c r="Q1110">
        <v>1</v>
      </c>
      <c r="R1110" t="str">
        <f>IF(Table1_2[[#This Row],[Total Price]]&gt;3330.41,"OUTLIER","NORMAL")</f>
        <v>NORMAL</v>
      </c>
      <c r="S1110" s="5">
        <v>0</v>
      </c>
    </row>
    <row r="1111" spans="1:19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 s="6">
        <v>309.88</v>
      </c>
      <c r="O1111">
        <v>2024</v>
      </c>
      <c r="P1111" s="3" t="s">
        <v>4294</v>
      </c>
      <c r="Q1111">
        <v>2</v>
      </c>
      <c r="R1111" t="str">
        <f>IF(Table1_2[[#This Row],[Total Price]]&gt;3330.41,"OUTLIER","NORMAL")</f>
        <v>NORMAL</v>
      </c>
      <c r="S1111" s="5">
        <v>0</v>
      </c>
    </row>
    <row r="1112" spans="1:19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 s="6">
        <v>252.93</v>
      </c>
      <c r="O1112">
        <v>2024</v>
      </c>
      <c r="P1112" s="3" t="s">
        <v>4289</v>
      </c>
      <c r="Q1112">
        <v>1</v>
      </c>
      <c r="R1112" t="str">
        <f>IF(Table1_2[[#This Row],[Total Price]]&gt;3330.41,"OUTLIER","NORMAL")</f>
        <v>NORMAL</v>
      </c>
      <c r="S1112" s="5">
        <v>0</v>
      </c>
    </row>
    <row r="1113" spans="1:19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 s="6">
        <v>937.8</v>
      </c>
      <c r="O1113">
        <v>2023</v>
      </c>
      <c r="P1113" s="3" t="s">
        <v>4291</v>
      </c>
      <c r="Q1113">
        <v>2</v>
      </c>
      <c r="R1113" t="str">
        <f>IF(Table1_2[[#This Row],[Total Price]]&gt;3330.41,"OUTLIER","NORMAL")</f>
        <v>NORMAL</v>
      </c>
      <c r="S1113" s="5">
        <v>0</v>
      </c>
    </row>
    <row r="1114" spans="1:19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 s="6">
        <v>356.81</v>
      </c>
      <c r="O1114">
        <v>2023</v>
      </c>
      <c r="P1114" s="3" t="s">
        <v>4290</v>
      </c>
      <c r="Q1114">
        <v>4</v>
      </c>
      <c r="R1114" t="str">
        <f>IF(Table1_2[[#This Row],[Total Price]]&gt;3330.41,"OUTLIER","NORMAL")</f>
        <v>NORMAL</v>
      </c>
      <c r="S1114" s="5">
        <v>0</v>
      </c>
    </row>
    <row r="1115" spans="1:19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4293</v>
      </c>
      <c r="M1115" s="3" t="s">
        <v>4282</v>
      </c>
      <c r="N1115" s="6">
        <v>839.96</v>
      </c>
      <c r="O1115">
        <v>2023</v>
      </c>
      <c r="P1115" s="3" t="s">
        <v>4297</v>
      </c>
      <c r="Q1115">
        <v>1</v>
      </c>
      <c r="R1115" t="str">
        <f>IF(Table1_2[[#This Row],[Total Price]]&gt;3330.41,"OUTLIER","NORMAL")</f>
        <v>NORMAL</v>
      </c>
      <c r="S1115" s="5">
        <v>0</v>
      </c>
    </row>
    <row r="1116" spans="1:19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4293</v>
      </c>
      <c r="M1116" s="3" t="s">
        <v>4282</v>
      </c>
      <c r="N1116" s="6">
        <v>1979.64</v>
      </c>
      <c r="O1116">
        <v>2023</v>
      </c>
      <c r="P1116" s="3" t="s">
        <v>4297</v>
      </c>
      <c r="Q1116">
        <v>1</v>
      </c>
      <c r="R1116" t="str">
        <f>IF(Table1_2[[#This Row],[Total Price]]&gt;3330.41,"OUTLIER","NORMAL")</f>
        <v>NORMAL</v>
      </c>
      <c r="S1116" s="5">
        <v>0</v>
      </c>
    </row>
    <row r="1117" spans="1:19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4293</v>
      </c>
      <c r="M1117" s="3" t="s">
        <v>4282</v>
      </c>
      <c r="N1117" s="6">
        <v>672.64</v>
      </c>
      <c r="O1117">
        <v>2025</v>
      </c>
      <c r="P1117" s="3" t="s">
        <v>4292</v>
      </c>
      <c r="Q1117">
        <v>2</v>
      </c>
      <c r="R1117" t="str">
        <f>IF(Table1_2[[#This Row],[Total Price]]&gt;3330.41,"OUTLIER","NORMAL")</f>
        <v>NORMAL</v>
      </c>
      <c r="S1117" s="5">
        <v>0</v>
      </c>
    </row>
    <row r="1118" spans="1:19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 s="6">
        <v>1062.98</v>
      </c>
      <c r="O1118">
        <v>2023</v>
      </c>
      <c r="P1118" s="3" t="s">
        <v>4290</v>
      </c>
      <c r="Q1118">
        <v>4</v>
      </c>
      <c r="R1118" t="str">
        <f>IF(Table1_2[[#This Row],[Total Price]]&gt;3330.41,"OUTLIER","NORMAL")</f>
        <v>NORMAL</v>
      </c>
      <c r="S1118" s="5">
        <v>0</v>
      </c>
    </row>
    <row r="1119" spans="1:19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 s="6">
        <v>1765.32</v>
      </c>
      <c r="O1119">
        <v>2024</v>
      </c>
      <c r="P1119" s="3" t="s">
        <v>4291</v>
      </c>
      <c r="Q1119">
        <v>2</v>
      </c>
      <c r="R1119" t="str">
        <f>IF(Table1_2[[#This Row],[Total Price]]&gt;3330.41,"OUTLIER","NORMAL")</f>
        <v>NORMAL</v>
      </c>
      <c r="S1119" s="5">
        <v>0</v>
      </c>
    </row>
    <row r="1120" spans="1:19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4293</v>
      </c>
      <c r="M1120" s="3" t="s">
        <v>4280</v>
      </c>
      <c r="N1120" s="6">
        <v>754.43999999999994</v>
      </c>
      <c r="O1120">
        <v>2024</v>
      </c>
      <c r="P1120" s="3" t="s">
        <v>4291</v>
      </c>
      <c r="Q1120">
        <v>2</v>
      </c>
      <c r="R1120" t="str">
        <f>IF(Table1_2[[#This Row],[Total Price]]&gt;3330.41,"OUTLIER","NORMAL")</f>
        <v>NORMAL</v>
      </c>
      <c r="S1120" s="5">
        <v>0</v>
      </c>
    </row>
    <row r="1121" spans="1:19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 s="6">
        <v>684.65</v>
      </c>
      <c r="O1121">
        <v>2024</v>
      </c>
      <c r="P1121" s="3" t="s">
        <v>4295</v>
      </c>
      <c r="Q1121">
        <v>4</v>
      </c>
      <c r="R1121" t="str">
        <f>IF(Table1_2[[#This Row],[Total Price]]&gt;3330.41,"OUTLIER","NORMAL")</f>
        <v>NORMAL</v>
      </c>
      <c r="S1121" s="5">
        <v>0</v>
      </c>
    </row>
    <row r="1122" spans="1:19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4293</v>
      </c>
      <c r="M1122" s="3" t="s">
        <v>4281</v>
      </c>
      <c r="N1122" s="6">
        <v>195.86</v>
      </c>
      <c r="O1122">
        <v>2025</v>
      </c>
      <c r="P1122" s="3" t="s">
        <v>4291</v>
      </c>
      <c r="Q1122">
        <v>2</v>
      </c>
      <c r="R1122" t="str">
        <f>IF(Table1_2[[#This Row],[Total Price]]&gt;3330.41,"OUTLIER","NORMAL")</f>
        <v>NORMAL</v>
      </c>
      <c r="S1122" s="5">
        <v>0</v>
      </c>
    </row>
    <row r="1123" spans="1:19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 s="6">
        <v>151.02000000000001</v>
      </c>
      <c r="O1123">
        <v>2023</v>
      </c>
      <c r="P1123" s="3" t="s">
        <v>4291</v>
      </c>
      <c r="Q1123">
        <v>2</v>
      </c>
      <c r="R1123" t="str">
        <f>IF(Table1_2[[#This Row],[Total Price]]&gt;3330.41,"OUTLIER","NORMAL")</f>
        <v>NORMAL</v>
      </c>
      <c r="S1123" s="5">
        <v>0</v>
      </c>
    </row>
    <row r="1124" spans="1:19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4293</v>
      </c>
      <c r="M1124" s="3" t="s">
        <v>4281</v>
      </c>
      <c r="N1124" s="6">
        <v>3390.95</v>
      </c>
      <c r="O1124">
        <v>2023</v>
      </c>
      <c r="P1124" s="3" t="s">
        <v>4292</v>
      </c>
      <c r="Q1124">
        <v>2</v>
      </c>
      <c r="R1124" t="str">
        <f>IF(Table1_2[[#This Row],[Total Price]]&gt;3330.41,"OUTLIER","NORMAL")</f>
        <v>OUTLIER</v>
      </c>
      <c r="S1124" s="5">
        <v>0</v>
      </c>
    </row>
    <row r="1125" spans="1:19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 s="6">
        <v>1662.75</v>
      </c>
      <c r="O1125">
        <v>2023</v>
      </c>
      <c r="P1125" s="3" t="s">
        <v>4294</v>
      </c>
      <c r="Q1125">
        <v>2</v>
      </c>
      <c r="R1125" t="str">
        <f>IF(Table1_2[[#This Row],[Total Price]]&gt;3330.41,"OUTLIER","NORMAL")</f>
        <v>NORMAL</v>
      </c>
      <c r="S1125" s="5">
        <v>0</v>
      </c>
    </row>
    <row r="1126" spans="1:19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4293</v>
      </c>
      <c r="M1126" s="3" t="s">
        <v>4278</v>
      </c>
      <c r="N1126" s="6">
        <v>2307.48</v>
      </c>
      <c r="O1126">
        <v>2023</v>
      </c>
      <c r="P1126" s="3" t="s">
        <v>4291</v>
      </c>
      <c r="Q1126">
        <v>2</v>
      </c>
      <c r="R1126" t="str">
        <f>IF(Table1_2[[#This Row],[Total Price]]&gt;3330.41,"OUTLIER","NORMAL")</f>
        <v>NORMAL</v>
      </c>
      <c r="S1126" s="5">
        <v>0</v>
      </c>
    </row>
    <row r="1127" spans="1:19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 s="6">
        <v>1633.44</v>
      </c>
      <c r="O1127">
        <v>2023</v>
      </c>
      <c r="P1127" s="3" t="s">
        <v>4290</v>
      </c>
      <c r="Q1127">
        <v>4</v>
      </c>
      <c r="R1127" t="str">
        <f>IF(Table1_2[[#This Row],[Total Price]]&gt;3330.41,"OUTLIER","NORMAL")</f>
        <v>NORMAL</v>
      </c>
      <c r="S1127" s="5">
        <v>0</v>
      </c>
    </row>
    <row r="1128" spans="1:19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 s="6">
        <v>950.55000000000007</v>
      </c>
      <c r="O1128">
        <v>2024</v>
      </c>
      <c r="P1128" s="3" t="s">
        <v>4298</v>
      </c>
      <c r="Q1128">
        <v>3</v>
      </c>
      <c r="R1128" t="str">
        <f>IF(Table1_2[[#This Row],[Total Price]]&gt;3330.41,"OUTLIER","NORMAL")</f>
        <v>NORMAL</v>
      </c>
      <c r="S1128" s="5">
        <v>0</v>
      </c>
    </row>
    <row r="1129" spans="1:19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 s="6">
        <v>1808.25</v>
      </c>
      <c r="O1129">
        <v>2025</v>
      </c>
      <c r="P1129" s="3" t="s">
        <v>4297</v>
      </c>
      <c r="Q1129">
        <v>1</v>
      </c>
      <c r="R1129" t="str">
        <f>IF(Table1_2[[#This Row],[Total Price]]&gt;3330.41,"OUTLIER","NORMAL")</f>
        <v>NORMAL</v>
      </c>
      <c r="S1129" s="5">
        <v>0</v>
      </c>
    </row>
    <row r="1130" spans="1:19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 s="6">
        <v>1940.37</v>
      </c>
      <c r="O1130">
        <v>2023</v>
      </c>
      <c r="P1130" s="3" t="s">
        <v>4288</v>
      </c>
      <c r="Q1130">
        <v>3</v>
      </c>
      <c r="R1130" t="str">
        <f>IF(Table1_2[[#This Row],[Total Price]]&gt;3330.41,"OUTLIER","NORMAL")</f>
        <v>NORMAL</v>
      </c>
      <c r="S1130" s="5">
        <v>0</v>
      </c>
    </row>
    <row r="1131" spans="1:19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 s="6">
        <v>1674.84</v>
      </c>
      <c r="O1131">
        <v>2023</v>
      </c>
      <c r="P1131" s="3" t="s">
        <v>4292</v>
      </c>
      <c r="Q1131">
        <v>2</v>
      </c>
      <c r="R1131" t="str">
        <f>IF(Table1_2[[#This Row],[Total Price]]&gt;3330.41,"OUTLIER","NORMAL")</f>
        <v>NORMAL</v>
      </c>
      <c r="S1131" s="5">
        <v>0</v>
      </c>
    </row>
    <row r="1132" spans="1:19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 s="6">
        <v>646.9</v>
      </c>
      <c r="O1132">
        <v>2025</v>
      </c>
      <c r="P1132" s="3" t="s">
        <v>4289</v>
      </c>
      <c r="Q1132">
        <v>1</v>
      </c>
      <c r="R1132" t="str">
        <f>IF(Table1_2[[#This Row],[Total Price]]&gt;3330.41,"OUTLIER","NORMAL")</f>
        <v>NORMAL</v>
      </c>
      <c r="S1132" s="5">
        <v>0</v>
      </c>
    </row>
    <row r="1133" spans="1:19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 s="6">
        <v>694.5</v>
      </c>
      <c r="O1133">
        <v>2024</v>
      </c>
      <c r="P1133" s="3" t="s">
        <v>4298</v>
      </c>
      <c r="Q1133">
        <v>3</v>
      </c>
      <c r="R1133" t="str">
        <f>IF(Table1_2[[#This Row],[Total Price]]&gt;3330.41,"OUTLIER","NORMAL")</f>
        <v>NORMAL</v>
      </c>
      <c r="S1133" s="5">
        <v>0</v>
      </c>
    </row>
    <row r="1134" spans="1:19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 s="6">
        <v>674.64</v>
      </c>
      <c r="O1134">
        <v>2024</v>
      </c>
      <c r="P1134" s="3" t="s">
        <v>4296</v>
      </c>
      <c r="Q1134">
        <v>4</v>
      </c>
      <c r="R1134" t="str">
        <f>IF(Table1_2[[#This Row],[Total Price]]&gt;3330.41,"OUTLIER","NORMAL")</f>
        <v>NORMAL</v>
      </c>
      <c r="S1134" s="5">
        <v>0</v>
      </c>
    </row>
    <row r="1135" spans="1:19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 s="6">
        <v>935.82</v>
      </c>
      <c r="O1135">
        <v>2024</v>
      </c>
      <c r="P1135" s="3" t="s">
        <v>4294</v>
      </c>
      <c r="Q1135">
        <v>2</v>
      </c>
      <c r="R1135" t="str">
        <f>IF(Table1_2[[#This Row],[Total Price]]&gt;3330.41,"OUTLIER","NORMAL")</f>
        <v>NORMAL</v>
      </c>
      <c r="S1135" s="5">
        <v>0</v>
      </c>
    </row>
    <row r="1136" spans="1:19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 s="6">
        <v>153.12</v>
      </c>
      <c r="O1136">
        <v>2024</v>
      </c>
      <c r="P1136" s="3" t="s">
        <v>4292</v>
      </c>
      <c r="Q1136">
        <v>2</v>
      </c>
      <c r="R1136" t="str">
        <f>IF(Table1_2[[#This Row],[Total Price]]&gt;3330.41,"OUTLIER","NORMAL")</f>
        <v>NORMAL</v>
      </c>
      <c r="S1136" s="5">
        <v>0</v>
      </c>
    </row>
    <row r="1137" spans="1:19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 s="6">
        <v>146.82</v>
      </c>
      <c r="O1137">
        <v>2023</v>
      </c>
      <c r="P1137" s="3" t="s">
        <v>4296</v>
      </c>
      <c r="Q1137">
        <v>4</v>
      </c>
      <c r="R1137" t="str">
        <f>IF(Table1_2[[#This Row],[Total Price]]&gt;3330.41,"OUTLIER","NORMAL")</f>
        <v>NORMAL</v>
      </c>
      <c r="S1137" s="5">
        <v>0</v>
      </c>
    </row>
    <row r="1138" spans="1:19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 s="6">
        <v>2004.99</v>
      </c>
      <c r="O1138">
        <v>2023</v>
      </c>
      <c r="P1138" s="3" t="s">
        <v>4299</v>
      </c>
      <c r="Q1138">
        <v>3</v>
      </c>
      <c r="R1138" t="str">
        <f>IF(Table1_2[[#This Row],[Total Price]]&gt;3330.41,"OUTLIER","NORMAL")</f>
        <v>NORMAL</v>
      </c>
      <c r="S1138" s="5">
        <v>0</v>
      </c>
    </row>
    <row r="1139" spans="1:19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 s="6">
        <v>1640.84</v>
      </c>
      <c r="O1139">
        <v>2024</v>
      </c>
      <c r="P1139" s="3" t="s">
        <v>4298</v>
      </c>
      <c r="Q1139">
        <v>3</v>
      </c>
      <c r="R1139" t="str">
        <f>IF(Table1_2[[#This Row],[Total Price]]&gt;3330.41,"OUTLIER","NORMAL")</f>
        <v>NORMAL</v>
      </c>
      <c r="S1139" s="5">
        <v>0</v>
      </c>
    </row>
    <row r="1140" spans="1:19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4293</v>
      </c>
      <c r="M1140" s="3" t="s">
        <v>4278</v>
      </c>
      <c r="N1140" s="6">
        <v>1177.6400000000001</v>
      </c>
      <c r="O1140">
        <v>2023</v>
      </c>
      <c r="P1140" s="3" t="s">
        <v>4296</v>
      </c>
      <c r="Q1140">
        <v>4</v>
      </c>
      <c r="R1140" t="str">
        <f>IF(Table1_2[[#This Row],[Total Price]]&gt;3330.41,"OUTLIER","NORMAL")</f>
        <v>NORMAL</v>
      </c>
      <c r="S1140" s="5">
        <v>0</v>
      </c>
    </row>
    <row r="1141" spans="1:19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 s="6">
        <v>1505.46</v>
      </c>
      <c r="O1141">
        <v>2025</v>
      </c>
      <c r="P1141" s="3" t="s">
        <v>4297</v>
      </c>
      <c r="Q1141">
        <v>1</v>
      </c>
      <c r="R1141" t="str">
        <f>IF(Table1_2[[#This Row],[Total Price]]&gt;3330.41,"OUTLIER","NORMAL")</f>
        <v>NORMAL</v>
      </c>
      <c r="S1141" s="5">
        <v>0</v>
      </c>
    </row>
    <row r="1142" spans="1:19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4293</v>
      </c>
      <c r="M1142" s="3" t="s">
        <v>4279</v>
      </c>
      <c r="N1142" s="6">
        <v>1105.6600000000001</v>
      </c>
      <c r="O1142">
        <v>2024</v>
      </c>
      <c r="P1142" s="3" t="s">
        <v>4292</v>
      </c>
      <c r="Q1142">
        <v>2</v>
      </c>
      <c r="R1142" t="str">
        <f>IF(Table1_2[[#This Row],[Total Price]]&gt;3330.41,"OUTLIER","NORMAL")</f>
        <v>NORMAL</v>
      </c>
      <c r="S1142" s="5">
        <v>0</v>
      </c>
    </row>
    <row r="1143" spans="1:19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4293</v>
      </c>
      <c r="M1143" s="3" t="s">
        <v>4280</v>
      </c>
      <c r="N1143" s="6">
        <v>1495.98</v>
      </c>
      <c r="O1143">
        <v>2025</v>
      </c>
      <c r="P1143" s="3" t="s">
        <v>4289</v>
      </c>
      <c r="Q1143">
        <v>1</v>
      </c>
      <c r="R1143" t="str">
        <f>IF(Table1_2[[#This Row],[Total Price]]&gt;3330.41,"OUTLIER","NORMAL")</f>
        <v>NORMAL</v>
      </c>
      <c r="S1143" s="5">
        <v>0</v>
      </c>
    </row>
    <row r="1144" spans="1:19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4293</v>
      </c>
      <c r="M1144" s="3" t="s">
        <v>4280</v>
      </c>
      <c r="N1144" s="6">
        <v>2780.4</v>
      </c>
      <c r="O1144">
        <v>2024</v>
      </c>
      <c r="P1144" s="3" t="s">
        <v>4288</v>
      </c>
      <c r="Q1144">
        <v>3</v>
      </c>
      <c r="R1144" t="str">
        <f>IF(Table1_2[[#This Row],[Total Price]]&gt;3330.41,"OUTLIER","NORMAL")</f>
        <v>NORMAL</v>
      </c>
      <c r="S1144" s="5">
        <v>0</v>
      </c>
    </row>
    <row r="1145" spans="1:19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4293</v>
      </c>
      <c r="M1145" s="3" t="s">
        <v>4280</v>
      </c>
      <c r="N1145" s="6">
        <v>381.61</v>
      </c>
      <c r="O1145">
        <v>2023</v>
      </c>
      <c r="P1145" s="3" t="s">
        <v>4294</v>
      </c>
      <c r="Q1145">
        <v>2</v>
      </c>
      <c r="R1145" t="str">
        <f>IF(Table1_2[[#This Row],[Total Price]]&gt;3330.41,"OUTLIER","NORMAL")</f>
        <v>NORMAL</v>
      </c>
      <c r="S1145" s="5">
        <v>0</v>
      </c>
    </row>
    <row r="1146" spans="1:19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4293</v>
      </c>
      <c r="M1146" s="3" t="s">
        <v>4281</v>
      </c>
      <c r="N1146" s="6">
        <v>2539.6999999999998</v>
      </c>
      <c r="O1146">
        <v>2023</v>
      </c>
      <c r="P1146" s="3" t="s">
        <v>4289</v>
      </c>
      <c r="Q1146">
        <v>1</v>
      </c>
      <c r="R1146" t="str">
        <f>IF(Table1_2[[#This Row],[Total Price]]&gt;3330.41,"OUTLIER","NORMAL")</f>
        <v>NORMAL</v>
      </c>
      <c r="S1146" s="5">
        <v>0</v>
      </c>
    </row>
    <row r="1147" spans="1:19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 s="6">
        <v>1714.59</v>
      </c>
      <c r="O1147">
        <v>2025</v>
      </c>
      <c r="P1147" s="3" t="s">
        <v>4291</v>
      </c>
      <c r="Q1147">
        <v>2</v>
      </c>
      <c r="R1147" t="str">
        <f>IF(Table1_2[[#This Row],[Total Price]]&gt;3330.41,"OUTLIER","NORMAL")</f>
        <v>NORMAL</v>
      </c>
      <c r="S1147" s="5">
        <v>0</v>
      </c>
    </row>
    <row r="1148" spans="1:19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 s="6">
        <v>2107.1999999999998</v>
      </c>
      <c r="O1148">
        <v>2024</v>
      </c>
      <c r="P1148" s="3" t="s">
        <v>4290</v>
      </c>
      <c r="Q1148">
        <v>4</v>
      </c>
      <c r="R1148" t="str">
        <f>IF(Table1_2[[#This Row],[Total Price]]&gt;3330.41,"OUTLIER","NORMAL")</f>
        <v>NORMAL</v>
      </c>
      <c r="S1148" s="5">
        <v>0</v>
      </c>
    </row>
    <row r="1149" spans="1:19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 s="6">
        <v>1176.5999999999999</v>
      </c>
      <c r="O1149">
        <v>2025</v>
      </c>
      <c r="P1149" s="3" t="s">
        <v>4287</v>
      </c>
      <c r="Q1149">
        <v>1</v>
      </c>
      <c r="R1149" t="str">
        <f>IF(Table1_2[[#This Row],[Total Price]]&gt;3330.41,"OUTLIER","NORMAL")</f>
        <v>NORMAL</v>
      </c>
      <c r="S1149" s="5">
        <v>0</v>
      </c>
    </row>
    <row r="1150" spans="1:19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 s="6">
        <v>355.15</v>
      </c>
      <c r="O1150">
        <v>2024</v>
      </c>
      <c r="P1150" s="3" t="s">
        <v>4292</v>
      </c>
      <c r="Q1150">
        <v>2</v>
      </c>
      <c r="R1150" t="str">
        <f>IF(Table1_2[[#This Row],[Total Price]]&gt;3330.41,"OUTLIER","NORMAL")</f>
        <v>NORMAL</v>
      </c>
      <c r="S1150" s="5">
        <v>0</v>
      </c>
    </row>
    <row r="1151" spans="1:19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 s="6">
        <v>1390.58</v>
      </c>
      <c r="O1151">
        <v>2024</v>
      </c>
      <c r="P1151" s="3" t="s">
        <v>4298</v>
      </c>
      <c r="Q1151">
        <v>3</v>
      </c>
      <c r="R1151" t="str">
        <f>IF(Table1_2[[#This Row],[Total Price]]&gt;3330.41,"OUTLIER","NORMAL")</f>
        <v>NORMAL</v>
      </c>
      <c r="S1151" s="5">
        <v>0</v>
      </c>
    </row>
    <row r="1152" spans="1:19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 s="6">
        <v>1210.5999999999999</v>
      </c>
      <c r="O1152">
        <v>2023</v>
      </c>
      <c r="P1152" s="3" t="s">
        <v>4289</v>
      </c>
      <c r="Q1152">
        <v>1</v>
      </c>
      <c r="R1152" t="str">
        <f>IF(Table1_2[[#This Row],[Total Price]]&gt;3330.41,"OUTLIER","NORMAL")</f>
        <v>NORMAL</v>
      </c>
      <c r="S1152" s="5">
        <v>0</v>
      </c>
    </row>
    <row r="1153" spans="1:19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4293</v>
      </c>
      <c r="M1153" s="3" t="s">
        <v>4282</v>
      </c>
      <c r="N1153" s="6">
        <v>1216.08</v>
      </c>
      <c r="O1153">
        <v>2023</v>
      </c>
      <c r="P1153" s="3" t="s">
        <v>4287</v>
      </c>
      <c r="Q1153">
        <v>1</v>
      </c>
      <c r="R1153" t="str">
        <f>IF(Table1_2[[#This Row],[Total Price]]&gt;3330.41,"OUTLIER","NORMAL")</f>
        <v>NORMAL</v>
      </c>
      <c r="S1153" s="5">
        <v>0</v>
      </c>
    </row>
    <row r="1154" spans="1:19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4293</v>
      </c>
      <c r="M1154" s="3" t="s">
        <v>4279</v>
      </c>
      <c r="N1154" s="6">
        <v>688.36</v>
      </c>
      <c r="O1154">
        <v>2023</v>
      </c>
      <c r="P1154" s="3" t="s">
        <v>4295</v>
      </c>
      <c r="Q1154">
        <v>4</v>
      </c>
      <c r="R1154" t="str">
        <f>IF(Table1_2[[#This Row],[Total Price]]&gt;3330.41,"OUTLIER","NORMAL")</f>
        <v>NORMAL</v>
      </c>
      <c r="S1154" s="5">
        <v>0</v>
      </c>
    </row>
    <row r="1155" spans="1:19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4293</v>
      </c>
      <c r="M1155" s="3" t="s">
        <v>4278</v>
      </c>
      <c r="N1155" s="6">
        <v>2786.84</v>
      </c>
      <c r="O1155">
        <v>2024</v>
      </c>
      <c r="P1155" s="3" t="s">
        <v>4296</v>
      </c>
      <c r="Q1155">
        <v>4</v>
      </c>
      <c r="R1155" t="str">
        <f>IF(Table1_2[[#This Row],[Total Price]]&gt;3330.41,"OUTLIER","NORMAL")</f>
        <v>NORMAL</v>
      </c>
      <c r="S1155" s="5">
        <v>0</v>
      </c>
    </row>
    <row r="1156" spans="1:19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 s="6">
        <v>595.89</v>
      </c>
      <c r="O1156">
        <v>2025</v>
      </c>
      <c r="P1156" s="3" t="s">
        <v>4292</v>
      </c>
      <c r="Q1156">
        <v>2</v>
      </c>
      <c r="R1156" t="str">
        <f>IF(Table1_2[[#This Row],[Total Price]]&gt;3330.41,"OUTLIER","NORMAL")</f>
        <v>NORMAL</v>
      </c>
      <c r="S1156" s="5">
        <v>0</v>
      </c>
    </row>
    <row r="1157" spans="1:19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 s="6">
        <v>2138.2800000000002</v>
      </c>
      <c r="O1157">
        <v>2023</v>
      </c>
      <c r="P1157" s="3" t="s">
        <v>4288</v>
      </c>
      <c r="Q1157">
        <v>3</v>
      </c>
      <c r="R1157" t="str">
        <f>IF(Table1_2[[#This Row],[Total Price]]&gt;3330.41,"OUTLIER","NORMAL")</f>
        <v>NORMAL</v>
      </c>
      <c r="S1157" s="5">
        <v>0</v>
      </c>
    </row>
    <row r="1158" spans="1:19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4293</v>
      </c>
      <c r="M1158" s="3" t="s">
        <v>4279</v>
      </c>
      <c r="N1158" s="6">
        <v>2763.12</v>
      </c>
      <c r="O1158">
        <v>2023</v>
      </c>
      <c r="P1158" s="3" t="s">
        <v>4298</v>
      </c>
      <c r="Q1158">
        <v>3</v>
      </c>
      <c r="R1158" t="str">
        <f>IF(Table1_2[[#This Row],[Total Price]]&gt;3330.41,"OUTLIER","NORMAL")</f>
        <v>NORMAL</v>
      </c>
      <c r="S1158" s="5">
        <v>0</v>
      </c>
    </row>
    <row r="1159" spans="1:19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 s="6">
        <v>904.65000000000009</v>
      </c>
      <c r="O1159">
        <v>2024</v>
      </c>
      <c r="P1159" s="3" t="s">
        <v>4291</v>
      </c>
      <c r="Q1159">
        <v>2</v>
      </c>
      <c r="R1159" t="str">
        <f>IF(Table1_2[[#This Row],[Total Price]]&gt;3330.41,"OUTLIER","NORMAL")</f>
        <v>NORMAL</v>
      </c>
      <c r="S1159" s="5">
        <v>0</v>
      </c>
    </row>
    <row r="1160" spans="1:19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 s="6">
        <v>109.68</v>
      </c>
      <c r="O1160">
        <v>2023</v>
      </c>
      <c r="P1160" s="3" t="s">
        <v>4294</v>
      </c>
      <c r="Q1160">
        <v>2</v>
      </c>
      <c r="R1160" t="str">
        <f>IF(Table1_2[[#This Row],[Total Price]]&gt;3330.41,"OUTLIER","NORMAL")</f>
        <v>NORMAL</v>
      </c>
      <c r="S1160" s="5">
        <v>0</v>
      </c>
    </row>
    <row r="1161" spans="1:19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4293</v>
      </c>
      <c r="M1161" s="3" t="s">
        <v>4278</v>
      </c>
      <c r="N1161" s="6">
        <v>1866.8</v>
      </c>
      <c r="O1161">
        <v>2024</v>
      </c>
      <c r="P1161" s="3" t="s">
        <v>4289</v>
      </c>
      <c r="Q1161">
        <v>1</v>
      </c>
      <c r="R1161" t="str">
        <f>IF(Table1_2[[#This Row],[Total Price]]&gt;3330.41,"OUTLIER","NORMAL")</f>
        <v>NORMAL</v>
      </c>
      <c r="S1161" s="5">
        <v>0</v>
      </c>
    </row>
    <row r="1162" spans="1:19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 s="6">
        <v>541.64</v>
      </c>
      <c r="O1162">
        <v>2024</v>
      </c>
      <c r="P1162" s="3" t="s">
        <v>4299</v>
      </c>
      <c r="Q1162">
        <v>3</v>
      </c>
      <c r="R1162" t="str">
        <f>IF(Table1_2[[#This Row],[Total Price]]&gt;3330.41,"OUTLIER","NORMAL")</f>
        <v>NORMAL</v>
      </c>
      <c r="S1162" s="5">
        <v>0</v>
      </c>
    </row>
    <row r="1163" spans="1:19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 s="6">
        <v>11.39</v>
      </c>
      <c r="O1163">
        <v>2023</v>
      </c>
      <c r="P1163" s="3" t="s">
        <v>4290</v>
      </c>
      <c r="Q1163">
        <v>4</v>
      </c>
      <c r="R1163" t="str">
        <f>IF(Table1_2[[#This Row],[Total Price]]&gt;3330.41,"OUTLIER","NORMAL")</f>
        <v>NORMAL</v>
      </c>
      <c r="S1163" s="5">
        <v>0</v>
      </c>
    </row>
    <row r="1164" spans="1:19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 s="6">
        <v>448.74</v>
      </c>
      <c r="O1164">
        <v>2025</v>
      </c>
      <c r="P1164" s="3" t="s">
        <v>4297</v>
      </c>
      <c r="Q1164">
        <v>1</v>
      </c>
      <c r="R1164" t="str">
        <f>IF(Table1_2[[#This Row],[Total Price]]&gt;3330.41,"OUTLIER","NORMAL")</f>
        <v>NORMAL</v>
      </c>
      <c r="S1164" s="5">
        <v>0</v>
      </c>
    </row>
    <row r="1165" spans="1:19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 s="6">
        <v>918.87000000000012</v>
      </c>
      <c r="O1165">
        <v>2024</v>
      </c>
      <c r="P1165" s="3" t="s">
        <v>4292</v>
      </c>
      <c r="Q1165">
        <v>2</v>
      </c>
      <c r="R1165" t="str">
        <f>IF(Table1_2[[#This Row],[Total Price]]&gt;3330.41,"OUTLIER","NORMAL")</f>
        <v>NORMAL</v>
      </c>
      <c r="S1165" s="5">
        <v>0</v>
      </c>
    </row>
    <row r="1166" spans="1:19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 s="6">
        <v>1577.85</v>
      </c>
      <c r="O1166">
        <v>2024</v>
      </c>
      <c r="P1166" s="3" t="s">
        <v>4287</v>
      </c>
      <c r="Q1166">
        <v>1</v>
      </c>
      <c r="R1166" t="str">
        <f>IF(Table1_2[[#This Row],[Total Price]]&gt;3330.41,"OUTLIER","NORMAL")</f>
        <v>NORMAL</v>
      </c>
      <c r="S1166" s="5">
        <v>0</v>
      </c>
    </row>
    <row r="1167" spans="1:19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4293</v>
      </c>
      <c r="M1167" s="3" t="s">
        <v>4282</v>
      </c>
      <c r="N1167" s="6">
        <v>671.37</v>
      </c>
      <c r="O1167">
        <v>2023</v>
      </c>
      <c r="P1167" s="3" t="s">
        <v>4298</v>
      </c>
      <c r="Q1167">
        <v>3</v>
      </c>
      <c r="R1167" t="str">
        <f>IF(Table1_2[[#This Row],[Total Price]]&gt;3330.41,"OUTLIER","NORMAL")</f>
        <v>NORMAL</v>
      </c>
      <c r="S1167" s="5">
        <v>0</v>
      </c>
    </row>
    <row r="1168" spans="1:19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 s="6">
        <v>973.41000000000008</v>
      </c>
      <c r="O1168">
        <v>2023</v>
      </c>
      <c r="P1168" s="3" t="s">
        <v>4298</v>
      </c>
      <c r="Q1168">
        <v>3</v>
      </c>
      <c r="R1168" t="str">
        <f>IF(Table1_2[[#This Row],[Total Price]]&gt;3330.41,"OUTLIER","NORMAL")</f>
        <v>NORMAL</v>
      </c>
      <c r="S1168" s="5">
        <v>0</v>
      </c>
    </row>
    <row r="1169" spans="1:19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 s="6">
        <v>185.74</v>
      </c>
      <c r="O1169">
        <v>2023</v>
      </c>
      <c r="P1169" s="3" t="s">
        <v>4290</v>
      </c>
      <c r="Q1169">
        <v>4</v>
      </c>
      <c r="R1169" t="str">
        <f>IF(Table1_2[[#This Row],[Total Price]]&gt;3330.41,"OUTLIER","NORMAL")</f>
        <v>NORMAL</v>
      </c>
      <c r="S1169" s="5">
        <v>0</v>
      </c>
    </row>
    <row r="1170" spans="1:19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 s="6">
        <v>662.84</v>
      </c>
      <c r="O1170">
        <v>2023</v>
      </c>
      <c r="P1170" s="3" t="s">
        <v>4294</v>
      </c>
      <c r="Q1170">
        <v>2</v>
      </c>
      <c r="R1170" t="str">
        <f>IF(Table1_2[[#This Row],[Total Price]]&gt;3330.41,"OUTLIER","NORMAL")</f>
        <v>NORMAL</v>
      </c>
      <c r="S1170" s="5">
        <v>0</v>
      </c>
    </row>
    <row r="1171" spans="1:19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 s="6">
        <v>525.42999999999995</v>
      </c>
      <c r="O1171">
        <v>2024</v>
      </c>
      <c r="P1171" s="3" t="s">
        <v>4296</v>
      </c>
      <c r="Q1171">
        <v>4</v>
      </c>
      <c r="R1171" t="str">
        <f>IF(Table1_2[[#This Row],[Total Price]]&gt;3330.41,"OUTLIER","NORMAL")</f>
        <v>NORMAL</v>
      </c>
      <c r="S1171" s="5">
        <v>0</v>
      </c>
    </row>
    <row r="1172" spans="1:19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 s="6">
        <v>1394.38</v>
      </c>
      <c r="O1172">
        <v>2023</v>
      </c>
      <c r="P1172" s="3" t="s">
        <v>4288</v>
      </c>
      <c r="Q1172">
        <v>3</v>
      </c>
      <c r="R1172" t="str">
        <f>IF(Table1_2[[#This Row],[Total Price]]&gt;3330.41,"OUTLIER","NORMAL")</f>
        <v>NORMAL</v>
      </c>
      <c r="S1172" s="5">
        <v>0</v>
      </c>
    </row>
    <row r="1173" spans="1:19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 s="6">
        <v>2073.6</v>
      </c>
      <c r="O1173">
        <v>2023</v>
      </c>
      <c r="P1173" s="3" t="s">
        <v>4288</v>
      </c>
      <c r="Q1173">
        <v>3</v>
      </c>
      <c r="R1173" t="str">
        <f>IF(Table1_2[[#This Row],[Total Price]]&gt;3330.41,"OUTLIER","NORMAL")</f>
        <v>NORMAL</v>
      </c>
      <c r="S1173" s="5">
        <v>0</v>
      </c>
    </row>
    <row r="1174" spans="1:19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4293</v>
      </c>
      <c r="M1174" s="3" t="s">
        <v>4278</v>
      </c>
      <c r="N1174" s="6">
        <v>395.88</v>
      </c>
      <c r="O1174">
        <v>2025</v>
      </c>
      <c r="P1174" s="3" t="s">
        <v>4289</v>
      </c>
      <c r="Q1174">
        <v>1</v>
      </c>
      <c r="R1174" t="str">
        <f>IF(Table1_2[[#This Row],[Total Price]]&gt;3330.41,"OUTLIER","NORMAL")</f>
        <v>NORMAL</v>
      </c>
      <c r="S1174" s="5">
        <v>0</v>
      </c>
    </row>
    <row r="1175" spans="1:19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 s="6">
        <v>208.36</v>
      </c>
      <c r="O1175">
        <v>2024</v>
      </c>
      <c r="P1175" s="3" t="s">
        <v>4290</v>
      </c>
      <c r="Q1175">
        <v>4</v>
      </c>
      <c r="R1175" t="str">
        <f>IF(Table1_2[[#This Row],[Total Price]]&gt;3330.41,"OUTLIER","NORMAL")</f>
        <v>NORMAL</v>
      </c>
      <c r="S1175" s="5">
        <v>0</v>
      </c>
    </row>
    <row r="1176" spans="1:19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 s="6">
        <v>667.02</v>
      </c>
      <c r="O1176">
        <v>2023</v>
      </c>
      <c r="P1176" s="3" t="s">
        <v>4295</v>
      </c>
      <c r="Q1176">
        <v>4</v>
      </c>
      <c r="R1176" t="str">
        <f>IF(Table1_2[[#This Row],[Total Price]]&gt;3330.41,"OUTLIER","NORMAL")</f>
        <v>NORMAL</v>
      </c>
      <c r="S1176" s="5">
        <v>0</v>
      </c>
    </row>
    <row r="1177" spans="1:19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 s="6">
        <v>275.22000000000003</v>
      </c>
      <c r="O1177">
        <v>2024</v>
      </c>
      <c r="P1177" s="3" t="s">
        <v>4299</v>
      </c>
      <c r="Q1177">
        <v>3</v>
      </c>
      <c r="R1177" t="str">
        <f>IF(Table1_2[[#This Row],[Total Price]]&gt;3330.41,"OUTLIER","NORMAL")</f>
        <v>NORMAL</v>
      </c>
      <c r="S1177" s="5">
        <v>0</v>
      </c>
    </row>
    <row r="1178" spans="1:19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 s="6">
        <v>427.66</v>
      </c>
      <c r="O1178">
        <v>2023</v>
      </c>
      <c r="P1178" s="3" t="s">
        <v>4288</v>
      </c>
      <c r="Q1178">
        <v>3</v>
      </c>
      <c r="R1178" t="str">
        <f>IF(Table1_2[[#This Row],[Total Price]]&gt;3330.41,"OUTLIER","NORMAL")</f>
        <v>NORMAL</v>
      </c>
      <c r="S1178" s="5">
        <v>0</v>
      </c>
    </row>
    <row r="1179" spans="1:19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 s="6">
        <v>127.55</v>
      </c>
      <c r="O1179">
        <v>2023</v>
      </c>
      <c r="P1179" s="3" t="s">
        <v>4294</v>
      </c>
      <c r="Q1179">
        <v>2</v>
      </c>
      <c r="R1179" t="str">
        <f>IF(Table1_2[[#This Row],[Total Price]]&gt;3330.41,"OUTLIER","NORMAL")</f>
        <v>NORMAL</v>
      </c>
      <c r="S1179" s="5">
        <v>0</v>
      </c>
    </row>
    <row r="1180" spans="1:19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 s="6">
        <v>70.239999999999995</v>
      </c>
      <c r="O1180">
        <v>2024</v>
      </c>
      <c r="P1180" s="3" t="s">
        <v>4299</v>
      </c>
      <c r="Q1180">
        <v>3</v>
      </c>
      <c r="R1180" t="str">
        <f>IF(Table1_2[[#This Row],[Total Price]]&gt;3330.41,"OUTLIER","NORMAL")</f>
        <v>NORMAL</v>
      </c>
      <c r="S1180" s="5">
        <v>0</v>
      </c>
    </row>
    <row r="1181" spans="1:19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 s="6">
        <v>2592.75</v>
      </c>
      <c r="O1181">
        <v>2023</v>
      </c>
      <c r="P1181" s="3" t="s">
        <v>4287</v>
      </c>
      <c r="Q1181">
        <v>1</v>
      </c>
      <c r="R1181" t="str">
        <f>IF(Table1_2[[#This Row],[Total Price]]&gt;3330.41,"OUTLIER","NORMAL")</f>
        <v>NORMAL</v>
      </c>
      <c r="S1181" s="5">
        <v>0</v>
      </c>
    </row>
    <row r="1182" spans="1:19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 s="6">
        <v>1193.44</v>
      </c>
      <c r="O1182">
        <v>2023</v>
      </c>
      <c r="P1182" s="3" t="s">
        <v>4290</v>
      </c>
      <c r="Q1182">
        <v>4</v>
      </c>
      <c r="R1182" t="str">
        <f>IF(Table1_2[[#This Row],[Total Price]]&gt;3330.41,"OUTLIER","NORMAL")</f>
        <v>NORMAL</v>
      </c>
      <c r="S1182" s="5">
        <v>0</v>
      </c>
    </row>
    <row r="1183" spans="1:19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 s="6">
        <v>476.22</v>
      </c>
      <c r="O1183">
        <v>2023</v>
      </c>
      <c r="P1183" s="3" t="s">
        <v>4298</v>
      </c>
      <c r="Q1183">
        <v>3</v>
      </c>
      <c r="R1183" t="str">
        <f>IF(Table1_2[[#This Row],[Total Price]]&gt;3330.41,"OUTLIER","NORMAL")</f>
        <v>NORMAL</v>
      </c>
      <c r="S1183" s="5">
        <v>0</v>
      </c>
    </row>
    <row r="1184" spans="1:19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 s="6">
        <v>840.58</v>
      </c>
      <c r="O1184">
        <v>2025</v>
      </c>
      <c r="P1184" s="3" t="s">
        <v>4292</v>
      </c>
      <c r="Q1184">
        <v>2</v>
      </c>
      <c r="R1184" t="str">
        <f>IF(Table1_2[[#This Row],[Total Price]]&gt;3330.41,"OUTLIER","NORMAL")</f>
        <v>NORMAL</v>
      </c>
      <c r="S1184" s="5">
        <v>0</v>
      </c>
    </row>
    <row r="1185" spans="1:19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 s="6">
        <v>281.52</v>
      </c>
      <c r="O1185">
        <v>2023</v>
      </c>
      <c r="P1185" s="3" t="s">
        <v>4294</v>
      </c>
      <c r="Q1185">
        <v>2</v>
      </c>
      <c r="R1185" t="str">
        <f>IF(Table1_2[[#This Row],[Total Price]]&gt;3330.41,"OUTLIER","NORMAL")</f>
        <v>NORMAL</v>
      </c>
      <c r="S1185" s="5">
        <v>0</v>
      </c>
    </row>
    <row r="1186" spans="1:19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4293</v>
      </c>
      <c r="M1186" s="3" t="s">
        <v>4282</v>
      </c>
      <c r="N1186" s="6">
        <v>204.08</v>
      </c>
      <c r="O1186">
        <v>2023</v>
      </c>
      <c r="P1186" s="3" t="s">
        <v>4299</v>
      </c>
      <c r="Q1186">
        <v>3</v>
      </c>
      <c r="R1186" t="str">
        <f>IF(Table1_2[[#This Row],[Total Price]]&gt;3330.41,"OUTLIER","NORMAL")</f>
        <v>NORMAL</v>
      </c>
      <c r="S1186" s="5">
        <v>0</v>
      </c>
    </row>
    <row r="1187" spans="1:19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 s="6">
        <v>343.31</v>
      </c>
      <c r="O1187">
        <v>2024</v>
      </c>
      <c r="P1187" s="3" t="s">
        <v>4298</v>
      </c>
      <c r="Q1187">
        <v>3</v>
      </c>
      <c r="R1187" t="str">
        <f>IF(Table1_2[[#This Row],[Total Price]]&gt;3330.41,"OUTLIER","NORMAL")</f>
        <v>NORMAL</v>
      </c>
      <c r="S1187" s="5">
        <v>0</v>
      </c>
    </row>
    <row r="1188" spans="1:19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 s="6">
        <v>163.32</v>
      </c>
      <c r="O1188">
        <v>2023</v>
      </c>
      <c r="P1188" s="3" t="s">
        <v>4295</v>
      </c>
      <c r="Q1188">
        <v>4</v>
      </c>
      <c r="R1188" t="str">
        <f>IF(Table1_2[[#This Row],[Total Price]]&gt;3330.41,"OUTLIER","NORMAL")</f>
        <v>NORMAL</v>
      </c>
      <c r="S1188" s="5">
        <v>0</v>
      </c>
    </row>
    <row r="1189" spans="1:19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 s="6">
        <v>369.2</v>
      </c>
      <c r="O1189">
        <v>2024</v>
      </c>
      <c r="P1189" s="3" t="s">
        <v>4297</v>
      </c>
      <c r="Q1189">
        <v>1</v>
      </c>
      <c r="R1189" t="str">
        <f>IF(Table1_2[[#This Row],[Total Price]]&gt;3330.41,"OUTLIER","NORMAL")</f>
        <v>NORMAL</v>
      </c>
      <c r="S1189" s="5">
        <v>0</v>
      </c>
    </row>
    <row r="1190" spans="1:19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 s="6">
        <v>742.58</v>
      </c>
      <c r="O1190">
        <v>2023</v>
      </c>
      <c r="P1190" s="3" t="s">
        <v>4290</v>
      </c>
      <c r="Q1190">
        <v>4</v>
      </c>
      <c r="R1190" t="str">
        <f>IF(Table1_2[[#This Row],[Total Price]]&gt;3330.41,"OUTLIER","NORMAL")</f>
        <v>NORMAL</v>
      </c>
      <c r="S1190" s="5">
        <v>0</v>
      </c>
    </row>
    <row r="1191" spans="1:19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4293</v>
      </c>
      <c r="M1191" s="3" t="s">
        <v>4279</v>
      </c>
      <c r="N1191" s="6">
        <v>1946.1</v>
      </c>
      <c r="O1191">
        <v>2024</v>
      </c>
      <c r="P1191" s="3" t="s">
        <v>4288</v>
      </c>
      <c r="Q1191">
        <v>3</v>
      </c>
      <c r="R1191" t="str">
        <f>IF(Table1_2[[#This Row],[Total Price]]&gt;3330.41,"OUTLIER","NORMAL")</f>
        <v>NORMAL</v>
      </c>
      <c r="S1191" s="5">
        <v>0</v>
      </c>
    </row>
    <row r="1192" spans="1:19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 s="6">
        <v>1849.17</v>
      </c>
      <c r="O1192">
        <v>2025</v>
      </c>
      <c r="P1192" s="3" t="s">
        <v>4292</v>
      </c>
      <c r="Q1192">
        <v>2</v>
      </c>
      <c r="R1192" t="str">
        <f>IF(Table1_2[[#This Row],[Total Price]]&gt;3330.41,"OUTLIER","NORMAL")</f>
        <v>NORMAL</v>
      </c>
      <c r="S1192" s="5">
        <v>0</v>
      </c>
    </row>
    <row r="1193" spans="1:19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 s="6">
        <v>1505.72</v>
      </c>
      <c r="O1193">
        <v>2025</v>
      </c>
      <c r="P1193" s="3" t="s">
        <v>4289</v>
      </c>
      <c r="Q1193">
        <v>1</v>
      </c>
      <c r="R1193" t="str">
        <f>IF(Table1_2[[#This Row],[Total Price]]&gt;3330.41,"OUTLIER","NORMAL")</f>
        <v>NORMAL</v>
      </c>
      <c r="S1193" s="5">
        <v>0</v>
      </c>
    </row>
    <row r="1194" spans="1:19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4293</v>
      </c>
      <c r="M1194" s="3" t="s">
        <v>4278</v>
      </c>
      <c r="N1194" s="6">
        <v>1298.55</v>
      </c>
      <c r="O1194">
        <v>2024</v>
      </c>
      <c r="P1194" s="3" t="s">
        <v>4289</v>
      </c>
      <c r="Q1194">
        <v>1</v>
      </c>
      <c r="R1194" t="str">
        <f>IF(Table1_2[[#This Row],[Total Price]]&gt;3330.41,"OUTLIER","NORMAL")</f>
        <v>NORMAL</v>
      </c>
      <c r="S1194" s="5">
        <v>0</v>
      </c>
    </row>
    <row r="1195" spans="1:19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 s="6">
        <v>687.89</v>
      </c>
      <c r="O1195">
        <v>2025</v>
      </c>
      <c r="P1195" s="3" t="s">
        <v>4292</v>
      </c>
      <c r="Q1195">
        <v>2</v>
      </c>
      <c r="R1195" t="str">
        <f>IF(Table1_2[[#This Row],[Total Price]]&gt;3330.41,"OUTLIER","NORMAL")</f>
        <v>NORMAL</v>
      </c>
      <c r="S1195" s="5">
        <v>0</v>
      </c>
    </row>
    <row r="1196" spans="1:19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 s="6">
        <v>568.31999999999994</v>
      </c>
      <c r="O1196">
        <v>2023</v>
      </c>
      <c r="P1196" s="3" t="s">
        <v>4295</v>
      </c>
      <c r="Q1196">
        <v>4</v>
      </c>
      <c r="R1196" t="str">
        <f>IF(Table1_2[[#This Row],[Total Price]]&gt;3330.41,"OUTLIER","NORMAL")</f>
        <v>NORMAL</v>
      </c>
      <c r="S1196" s="5">
        <v>0</v>
      </c>
    </row>
    <row r="1197" spans="1:19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 s="6">
        <v>107.04</v>
      </c>
      <c r="O1197">
        <v>2024</v>
      </c>
      <c r="P1197" s="3" t="s">
        <v>4292</v>
      </c>
      <c r="Q1197">
        <v>2</v>
      </c>
      <c r="R1197" t="str">
        <f>IF(Table1_2[[#This Row],[Total Price]]&gt;3330.41,"OUTLIER","NORMAL")</f>
        <v>NORMAL</v>
      </c>
      <c r="S1197" s="5">
        <v>0</v>
      </c>
    </row>
    <row r="1198" spans="1:19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4293</v>
      </c>
      <c r="M1198" s="3" t="s">
        <v>4281</v>
      </c>
      <c r="N1198" s="6">
        <v>1325.06</v>
      </c>
      <c r="O1198">
        <v>2024</v>
      </c>
      <c r="P1198" s="3" t="s">
        <v>4297</v>
      </c>
      <c r="Q1198">
        <v>1</v>
      </c>
      <c r="R1198" t="str">
        <f>IF(Table1_2[[#This Row],[Total Price]]&gt;3330.41,"OUTLIER","NORMAL")</f>
        <v>NORMAL</v>
      </c>
      <c r="S1198" s="5">
        <v>0</v>
      </c>
    </row>
    <row r="1199" spans="1:19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 s="6">
        <v>873.68</v>
      </c>
      <c r="O1199">
        <v>2023</v>
      </c>
      <c r="P1199" s="3" t="s">
        <v>4298</v>
      </c>
      <c r="Q1199">
        <v>3</v>
      </c>
      <c r="R1199" t="str">
        <f>IF(Table1_2[[#This Row],[Total Price]]&gt;3330.41,"OUTLIER","NORMAL")</f>
        <v>NORMAL</v>
      </c>
      <c r="S1199" s="5">
        <v>0</v>
      </c>
    </row>
    <row r="1200" spans="1:19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 s="6">
        <v>1050.08</v>
      </c>
      <c r="O1200">
        <v>2024</v>
      </c>
      <c r="P1200" s="3" t="s">
        <v>4288</v>
      </c>
      <c r="Q1200">
        <v>3</v>
      </c>
      <c r="R1200" t="str">
        <f>IF(Table1_2[[#This Row],[Total Price]]&gt;3330.41,"OUTLIER","NORMAL")</f>
        <v>NORMAL</v>
      </c>
      <c r="S1200" s="5">
        <v>0</v>
      </c>
    </row>
    <row r="1201" spans="1:19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 s="6">
        <v>2242.3200000000002</v>
      </c>
      <c r="O1201">
        <v>2023</v>
      </c>
      <c r="P1201" s="3" t="s">
        <v>4292</v>
      </c>
      <c r="Q1201">
        <v>2</v>
      </c>
      <c r="R1201" t="str">
        <f>IF(Table1_2[[#This Row],[Total Price]]&gt;3330.41,"OUTLIER","NORMAL")</f>
        <v>NORMAL</v>
      </c>
      <c r="S1201" s="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0F65-D692-4710-9326-5B00E113A737}">
  <dimension ref="A1:I17"/>
  <sheetViews>
    <sheetView workbookViewId="0">
      <selection sqref="A1:A5"/>
    </sheetView>
  </sheetViews>
  <sheetFormatPr defaultColWidth="11.5703125" defaultRowHeight="15" x14ac:dyDescent="0.25"/>
  <cols>
    <col min="6" max="6" width="15.42578125" bestFit="1" customWidth="1"/>
    <col min="7" max="7" width="13.140625" bestFit="1" customWidth="1"/>
    <col min="8" max="8" width="21.140625" bestFit="1" customWidth="1"/>
    <col min="10" max="10" width="12.7109375" customWidth="1"/>
  </cols>
  <sheetData>
    <row r="1" spans="1:9" x14ac:dyDescent="0.25">
      <c r="A1" t="s">
        <v>4309</v>
      </c>
      <c r="B1" t="s">
        <v>4310</v>
      </c>
      <c r="C1" t="s">
        <v>4311</v>
      </c>
      <c r="D1" t="s">
        <v>4318</v>
      </c>
      <c r="F1" t="s">
        <v>4320</v>
      </c>
      <c r="G1" t="s">
        <v>4319</v>
      </c>
    </row>
    <row r="2" spans="1:9" x14ac:dyDescent="0.25">
      <c r="A2" t="s">
        <v>4312</v>
      </c>
      <c r="B2">
        <f>COUNT('CLEAN DATA'!E:E)</f>
        <v>1200</v>
      </c>
      <c r="C2">
        <f>AVERAGE('CLEAN DATA'!E:E)</f>
        <v>2.9458333333333333</v>
      </c>
      <c r="D2">
        <f>MEDIAN('CLEAN DATA'!E:E)</f>
        <v>3</v>
      </c>
      <c r="F2">
        <v>2023</v>
      </c>
      <c r="G2">
        <f>COUNTIF('CLEAN DATA'!O:O,Table1_2[[#This Row],[Year]])</f>
        <v>510</v>
      </c>
    </row>
    <row r="3" spans="1:9" x14ac:dyDescent="0.25">
      <c r="A3" t="s">
        <v>4313</v>
      </c>
      <c r="B3">
        <f>COUNT('CLEAN DATA'!F:F)</f>
        <v>1200</v>
      </c>
      <c r="C3">
        <f>AVERAGE('CLEAN DATA'!F:F)</f>
        <v>356.41275000000007</v>
      </c>
      <c r="D3">
        <f>MEDIAN('CLEAN DATA'!F:F)</f>
        <v>364.21</v>
      </c>
      <c r="F3">
        <v>2024</v>
      </c>
      <c r="G3">
        <f>COUNTIF('CLEAN DATA'!O:O,Table1_2[[#This Row],[Year]])</f>
        <v>459</v>
      </c>
    </row>
    <row r="4" spans="1:9" x14ac:dyDescent="0.25">
      <c r="A4" t="s">
        <v>4314</v>
      </c>
      <c r="B4">
        <f>COUNT('CLEAN DATA'!N:N)</f>
        <v>1200</v>
      </c>
      <c r="C4" s="11">
        <f>AVERAGE('CLEAN DATA'!N:N)</f>
        <v>1053.9683000000005</v>
      </c>
      <c r="D4" s="11">
        <f>MEDIAN('CLEAN DATA'!N:N)</f>
        <v>823.61500000000001</v>
      </c>
      <c r="F4">
        <v>2025</v>
      </c>
      <c r="G4">
        <f>COUNTIF('CLEAN DATA'!O:O,'CLEAN DATA'!O6)</f>
        <v>231</v>
      </c>
    </row>
    <row r="5" spans="1:9" x14ac:dyDescent="0.25">
      <c r="A5" t="s">
        <v>4315</v>
      </c>
      <c r="B5">
        <f>COUNT('CLEAN DATA'!K:K)</f>
        <v>1200</v>
      </c>
      <c r="C5">
        <f>AVERAGE('CLEAN DATA'!K:K)</f>
        <v>5.4850000000000003</v>
      </c>
      <c r="D5">
        <f>MEDIAN('CLEAN DATA'!K:K)</f>
        <v>5</v>
      </c>
    </row>
    <row r="6" spans="1:9" x14ac:dyDescent="0.25">
      <c r="A6" t="s">
        <v>4316</v>
      </c>
      <c r="B6">
        <f>COUNT('CLEAN DATA'!O:O)</f>
        <v>1200</v>
      </c>
      <c r="C6">
        <f>AVERAGE('CLEAN DATA'!O:O)</f>
        <v>2023.7674999999999</v>
      </c>
      <c r="D6">
        <f>MEDIAN('CLEAN DATA'!O:O)</f>
        <v>2024</v>
      </c>
    </row>
    <row r="7" spans="1:9" x14ac:dyDescent="0.25">
      <c r="A7" t="s">
        <v>4317</v>
      </c>
      <c r="B7">
        <f>COUNT('CLEAN DATA'!Q:Q)</f>
        <v>1200</v>
      </c>
      <c r="C7">
        <f>COUNT('CLEAN DATA'!Q:Q)</f>
        <v>1200</v>
      </c>
      <c r="D7">
        <f>MEDIAN('CLEAN DATA'!Q:Q)</f>
        <v>2</v>
      </c>
    </row>
    <row r="9" spans="1:9" x14ac:dyDescent="0.25">
      <c r="H9" t="s">
        <v>4321</v>
      </c>
    </row>
    <row r="10" spans="1:9" x14ac:dyDescent="0.25">
      <c r="A10" t="s">
        <v>4324</v>
      </c>
      <c r="B10" t="s">
        <v>4325</v>
      </c>
      <c r="H10" s="15" t="s">
        <v>4322</v>
      </c>
      <c r="I10" s="11">
        <f>AVERAGE('CLEAN DATA'!N:N)</f>
        <v>1053.9683000000005</v>
      </c>
    </row>
    <row r="11" spans="1:9" x14ac:dyDescent="0.25">
      <c r="A11" t="s">
        <v>4327</v>
      </c>
      <c r="B11">
        <f>SUMIFS('CLEAN DATA'!N:N,'CLEAN DATA'!D:D,'CLEAN DATA'!D5)</f>
        <v>195620.11000000002</v>
      </c>
      <c r="H11" t="s">
        <v>4323</v>
      </c>
      <c r="I11" s="11">
        <f>MEDIAN('CLEAN DATA'!N:N)</f>
        <v>823.61500000000001</v>
      </c>
    </row>
    <row r="12" spans="1:9" x14ac:dyDescent="0.25">
      <c r="A12" t="s">
        <v>2407</v>
      </c>
      <c r="B12">
        <f>SUMIFS('CLEAN DATA'!N:N,'CLEAN DATA'!D:D,'CLEAN DATA'!D6)</f>
        <v>195612.60999999996</v>
      </c>
      <c r="I12" s="11"/>
    </row>
    <row r="13" spans="1:9" x14ac:dyDescent="0.25">
      <c r="A13" t="s">
        <v>2408</v>
      </c>
      <c r="B13">
        <f>SUMIFS('CLEAN DATA'!N:N,'CLEAN DATA'!D:D,'CLEAN DATA'!D8)</f>
        <v>192126.55999999994</v>
      </c>
    </row>
    <row r="14" spans="1:9" x14ac:dyDescent="0.25">
      <c r="A14" t="s">
        <v>4326</v>
      </c>
      <c r="B14">
        <f>SUMIFS('CLEAN DATA'!N:N,'CLEAN DATA'!D:D,'CLEAN DATA'!D16)</f>
        <v>186568.95000000007</v>
      </c>
    </row>
    <row r="15" spans="1:9" x14ac:dyDescent="0.25">
      <c r="A15" t="s">
        <v>2403</v>
      </c>
      <c r="B15">
        <f>SUMIFS('CLEAN DATA'!N:N,'CLEAN DATA'!D:D,'CLEAN DATA'!D2)</f>
        <v>175651.40999999997</v>
      </c>
    </row>
    <row r="16" spans="1:9" x14ac:dyDescent="0.25">
      <c r="A16" t="s">
        <v>2409</v>
      </c>
      <c r="B16">
        <f>SUMIFS('CLEAN DATA'!N:N,'CLEAN DATA'!D:D,'CLEAN DATA'!D11)</f>
        <v>167459.93</v>
      </c>
    </row>
    <row r="17" spans="1:2" x14ac:dyDescent="0.25">
      <c r="A17" t="s">
        <v>2404</v>
      </c>
      <c r="B17">
        <f>SUMIFS('CLEAN DATA'!N:N,'CLEAN DATA'!D:D,'CLEAN DATA'!D7)</f>
        <v>151722.39000000001</v>
      </c>
    </row>
  </sheetData>
  <conditionalFormatting sqref="G2:G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{E0C35A96-6EB7-4EC7-94F2-5A88675301B8}</x14:id>
        </ext>
      </extLst>
    </cfRule>
  </conditionalFormatting>
  <conditionalFormatting sqref="B11:B17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{F16CD3A9-0ECE-4C36-9485-73C78985387B}</x14:id>
        </ext>
      </extLst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C35A96-6EB7-4EC7-94F2-5A88675301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G2:G4</xm:sqref>
        </x14:conditionalFormatting>
        <x14:conditionalFormatting xmlns:xm="http://schemas.microsoft.com/office/excel/2006/main">
          <x14:cfRule type="dataBar" id="{F16CD3A9-0ECE-4C36-9485-73C7898538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B11:B17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E7C1-3DE6-4418-B61A-71720E2123AE}">
  <dimension ref="A1:R21"/>
  <sheetViews>
    <sheetView workbookViewId="0">
      <selection activeCell="F8" sqref="F8"/>
    </sheetView>
  </sheetViews>
  <sheetFormatPr defaultRowHeight="15" x14ac:dyDescent="0.25"/>
  <cols>
    <col min="2" max="2" width="19" customWidth="1"/>
    <col min="3" max="3" width="11.5703125" customWidth="1"/>
    <col min="14" max="14" width="11.7109375" bestFit="1" customWidth="1"/>
  </cols>
  <sheetData>
    <row r="1" spans="1:18" x14ac:dyDescent="0.25">
      <c r="A1" t="s">
        <v>4328</v>
      </c>
    </row>
    <row r="2" spans="1:18" x14ac:dyDescent="0.25">
      <c r="A2">
        <f>_xlfn.QUARTILE.INC('CLEAN DATA'!N:N,1)</f>
        <v>410.52</v>
      </c>
      <c r="E2">
        <f>A2-1.5*B5</f>
        <v>-1341.4124999999999</v>
      </c>
    </row>
    <row r="3" spans="1:18" x14ac:dyDescent="0.25">
      <c r="A3">
        <f>_xlfn.QUARTILE.INC('CLEAN DATA'!N:N,3)</f>
        <v>1578.4749999999999</v>
      </c>
      <c r="E3">
        <f>A3+1.5*B5</f>
        <v>3330.4074999999998</v>
      </c>
    </row>
    <row r="5" spans="1:18" x14ac:dyDescent="0.25">
      <c r="A5" t="s">
        <v>4329</v>
      </c>
      <c r="B5">
        <f>A3-A2</f>
        <v>1167.9549999999999</v>
      </c>
    </row>
    <row r="6" spans="1:18" ht="15.75" thickBot="1" x14ac:dyDescent="0.3">
      <c r="B6" s="12" t="s">
        <v>4309</v>
      </c>
      <c r="C6" t="s">
        <v>4328</v>
      </c>
    </row>
    <row r="7" spans="1:18" ht="15.75" thickTop="1" x14ac:dyDescent="0.25">
      <c r="B7" s="13" t="s">
        <v>4312</v>
      </c>
      <c r="C7" t="s">
        <v>4330</v>
      </c>
    </row>
    <row r="8" spans="1:18" x14ac:dyDescent="0.25">
      <c r="B8" s="14" t="s">
        <v>4313</v>
      </c>
      <c r="C8" t="s">
        <v>4330</v>
      </c>
    </row>
    <row r="9" spans="1:18" x14ac:dyDescent="0.25">
      <c r="B9" s="13" t="s">
        <v>4314</v>
      </c>
      <c r="C9">
        <v>8</v>
      </c>
    </row>
    <row r="10" spans="1:18" x14ac:dyDescent="0.25">
      <c r="B10" s="14" t="s">
        <v>4315</v>
      </c>
      <c r="C10" t="s">
        <v>4330</v>
      </c>
    </row>
    <row r="12" spans="1:18" x14ac:dyDescent="0.25">
      <c r="B12" t="s">
        <v>4332</v>
      </c>
    </row>
    <row r="13" spans="1:18" x14ac:dyDescent="0.25">
      <c r="A13" s="10" t="s">
        <v>0</v>
      </c>
      <c r="B13" s="7" t="s">
        <v>1</v>
      </c>
      <c r="C13" s="7" t="s">
        <v>2</v>
      </c>
      <c r="D13" s="7" t="s">
        <v>3</v>
      </c>
      <c r="E13" s="7" t="s">
        <v>4</v>
      </c>
      <c r="F13" s="7" t="s">
        <v>4301</v>
      </c>
      <c r="G13" s="7" t="s">
        <v>4300</v>
      </c>
      <c r="H13" s="7" t="s">
        <v>4302</v>
      </c>
      <c r="I13" s="7" t="s">
        <v>4303</v>
      </c>
      <c r="J13" s="7" t="s">
        <v>4304</v>
      </c>
      <c r="K13" s="7" t="s">
        <v>4305</v>
      </c>
      <c r="L13" s="7" t="s">
        <v>4306</v>
      </c>
      <c r="M13" s="7" t="s">
        <v>4307</v>
      </c>
      <c r="N13" s="16" t="s">
        <v>4308</v>
      </c>
      <c r="O13" s="7" t="s">
        <v>4283</v>
      </c>
      <c r="P13" s="7" t="s">
        <v>4284</v>
      </c>
      <c r="Q13" s="7" t="s">
        <v>4285</v>
      </c>
      <c r="R13" s="7" t="s">
        <v>4328</v>
      </c>
    </row>
    <row r="14" spans="1:18" x14ac:dyDescent="0.25">
      <c r="A14" s="21" t="s">
        <v>121</v>
      </c>
      <c r="B14" s="22">
        <v>45012</v>
      </c>
      <c r="C14" s="23" t="s">
        <v>1321</v>
      </c>
      <c r="D14" s="23" t="s">
        <v>2407</v>
      </c>
      <c r="E14" s="9">
        <v>5</v>
      </c>
      <c r="F14" s="9">
        <v>670.75</v>
      </c>
      <c r="G14" s="23" t="s">
        <v>2510</v>
      </c>
      <c r="H14" s="23" t="s">
        <v>3068</v>
      </c>
      <c r="I14" s="23" t="s">
        <v>3070</v>
      </c>
      <c r="J14" s="23" t="s">
        <v>3182</v>
      </c>
      <c r="K14" s="9">
        <v>8</v>
      </c>
      <c r="L14" s="23" t="s">
        <v>4276</v>
      </c>
      <c r="M14" s="23" t="s">
        <v>4278</v>
      </c>
      <c r="N14" s="24">
        <v>3353.75</v>
      </c>
      <c r="O14" s="9">
        <v>2023</v>
      </c>
      <c r="P14" s="23" t="s">
        <v>4297</v>
      </c>
      <c r="Q14" s="9">
        <v>1</v>
      </c>
      <c r="R14" s="9" t="s">
        <v>4331</v>
      </c>
    </row>
    <row r="15" spans="1:18" x14ac:dyDescent="0.25">
      <c r="A15" s="17" t="s">
        <v>340</v>
      </c>
      <c r="B15" s="18">
        <v>45474</v>
      </c>
      <c r="C15" s="19" t="s">
        <v>1540</v>
      </c>
      <c r="D15" s="19" t="s">
        <v>2408</v>
      </c>
      <c r="E15" s="8">
        <v>5</v>
      </c>
      <c r="F15" s="8">
        <v>670.48</v>
      </c>
      <c r="G15" s="19" t="s">
        <v>2429</v>
      </c>
      <c r="H15" s="19" t="s">
        <v>3068</v>
      </c>
      <c r="I15" s="19" t="s">
        <v>3072</v>
      </c>
      <c r="J15" s="19" t="s">
        <v>3401</v>
      </c>
      <c r="K15" s="8">
        <v>5</v>
      </c>
      <c r="L15" s="19" t="s">
        <v>4275</v>
      </c>
      <c r="M15" s="19" t="s">
        <v>4281</v>
      </c>
      <c r="N15" s="20">
        <v>3352.4</v>
      </c>
      <c r="O15" s="8">
        <v>2024</v>
      </c>
      <c r="P15" s="19" t="s">
        <v>4298</v>
      </c>
      <c r="Q15" s="8">
        <v>3</v>
      </c>
      <c r="R15" s="8" t="s">
        <v>4331</v>
      </c>
    </row>
    <row r="16" spans="1:18" x14ac:dyDescent="0.25">
      <c r="A16" s="17" t="s">
        <v>342</v>
      </c>
      <c r="B16" s="18">
        <v>44985</v>
      </c>
      <c r="C16" s="19" t="s">
        <v>1542</v>
      </c>
      <c r="D16" s="19" t="s">
        <v>2405</v>
      </c>
      <c r="E16" s="8">
        <v>5</v>
      </c>
      <c r="F16" s="8">
        <v>674.04</v>
      </c>
      <c r="G16" s="19" t="s">
        <v>2684</v>
      </c>
      <c r="H16" s="19" t="s">
        <v>3066</v>
      </c>
      <c r="I16" s="19" t="s">
        <v>3071</v>
      </c>
      <c r="J16" s="19" t="s">
        <v>3403</v>
      </c>
      <c r="K16" s="8">
        <v>7</v>
      </c>
      <c r="L16" s="19" t="s">
        <v>4275</v>
      </c>
      <c r="M16" s="19" t="s">
        <v>4282</v>
      </c>
      <c r="N16" s="20">
        <v>3370.2</v>
      </c>
      <c r="O16" s="8">
        <v>2023</v>
      </c>
      <c r="P16" s="19" t="s">
        <v>4289</v>
      </c>
      <c r="Q16" s="8">
        <v>1</v>
      </c>
      <c r="R16" s="8" t="s">
        <v>4331</v>
      </c>
    </row>
    <row r="17" spans="1:18" x14ac:dyDescent="0.25">
      <c r="A17" s="21" t="s">
        <v>483</v>
      </c>
      <c r="B17" s="22">
        <v>45256</v>
      </c>
      <c r="C17" s="23" t="s">
        <v>1683</v>
      </c>
      <c r="D17" s="23" t="s">
        <v>2406</v>
      </c>
      <c r="E17" s="9">
        <v>5</v>
      </c>
      <c r="F17" s="9">
        <v>676.98</v>
      </c>
      <c r="G17" s="23" t="s">
        <v>2546</v>
      </c>
      <c r="H17" s="23" t="s">
        <v>3069</v>
      </c>
      <c r="I17" s="23" t="s">
        <v>3071</v>
      </c>
      <c r="J17" s="23" t="s">
        <v>3544</v>
      </c>
      <c r="K17" s="9">
        <v>5</v>
      </c>
      <c r="L17" s="23" t="s">
        <v>4293</v>
      </c>
      <c r="M17" s="23" t="s">
        <v>4281</v>
      </c>
      <c r="N17" s="24">
        <v>3384.9</v>
      </c>
      <c r="O17" s="9">
        <v>2023</v>
      </c>
      <c r="P17" s="23" t="s">
        <v>4295</v>
      </c>
      <c r="Q17" s="9">
        <v>4</v>
      </c>
      <c r="R17" s="9" t="s">
        <v>4331</v>
      </c>
    </row>
    <row r="18" spans="1:18" x14ac:dyDescent="0.25">
      <c r="A18" s="17" t="s">
        <v>646</v>
      </c>
      <c r="B18" s="18">
        <v>45048</v>
      </c>
      <c r="C18" s="19" t="s">
        <v>1845</v>
      </c>
      <c r="D18" s="19" t="s">
        <v>2408</v>
      </c>
      <c r="E18" s="8">
        <v>5</v>
      </c>
      <c r="F18" s="8">
        <v>678.16</v>
      </c>
      <c r="G18" s="19" t="s">
        <v>2629</v>
      </c>
      <c r="H18" s="19" t="s">
        <v>3068</v>
      </c>
      <c r="I18" s="19" t="s">
        <v>3073</v>
      </c>
      <c r="J18" s="19" t="s">
        <v>3707</v>
      </c>
      <c r="K18" s="8">
        <v>7</v>
      </c>
      <c r="L18" s="19" t="s">
        <v>4277</v>
      </c>
      <c r="M18" s="19" t="s">
        <v>4281</v>
      </c>
      <c r="N18" s="20">
        <v>3390.8</v>
      </c>
      <c r="O18" s="8">
        <v>2023</v>
      </c>
      <c r="P18" s="19" t="s">
        <v>4291</v>
      </c>
      <c r="Q18" s="8">
        <v>2</v>
      </c>
      <c r="R18" s="8" t="s">
        <v>4331</v>
      </c>
    </row>
    <row r="19" spans="1:18" x14ac:dyDescent="0.25">
      <c r="A19" s="21" t="s">
        <v>803</v>
      </c>
      <c r="B19" s="22">
        <v>45155</v>
      </c>
      <c r="C19" s="23" t="s">
        <v>2000</v>
      </c>
      <c r="D19" s="23" t="s">
        <v>2405</v>
      </c>
      <c r="E19" s="9">
        <v>5</v>
      </c>
      <c r="F19" s="9">
        <v>691.28</v>
      </c>
      <c r="G19" s="23" t="s">
        <v>2924</v>
      </c>
      <c r="H19" s="23" t="s">
        <v>3066</v>
      </c>
      <c r="I19" s="23" t="s">
        <v>3073</v>
      </c>
      <c r="J19" s="23" t="s">
        <v>3864</v>
      </c>
      <c r="K19" s="9">
        <v>10</v>
      </c>
      <c r="L19" s="23" t="s">
        <v>4275</v>
      </c>
      <c r="M19" s="23" t="s">
        <v>4280</v>
      </c>
      <c r="N19" s="24">
        <v>3456.4</v>
      </c>
      <c r="O19" s="9">
        <v>2023</v>
      </c>
      <c r="P19" s="23" t="s">
        <v>4288</v>
      </c>
      <c r="Q19" s="9">
        <v>3</v>
      </c>
      <c r="R19" s="9" t="s">
        <v>4331</v>
      </c>
    </row>
    <row r="20" spans="1:18" x14ac:dyDescent="0.25">
      <c r="A20" s="21" t="s">
        <v>1079</v>
      </c>
      <c r="B20" s="22">
        <v>45229</v>
      </c>
      <c r="C20" s="23" t="s">
        <v>2271</v>
      </c>
      <c r="D20" s="23" t="s">
        <v>2407</v>
      </c>
      <c r="E20" s="9">
        <v>5</v>
      </c>
      <c r="F20" s="9">
        <v>666.8</v>
      </c>
      <c r="G20" s="23" t="s">
        <v>2746</v>
      </c>
      <c r="H20" s="23" t="s">
        <v>3065</v>
      </c>
      <c r="I20" s="23" t="s">
        <v>3073</v>
      </c>
      <c r="J20" s="23" t="s">
        <v>4140</v>
      </c>
      <c r="K20" s="9">
        <v>7</v>
      </c>
      <c r="L20" s="23" t="s">
        <v>4275</v>
      </c>
      <c r="M20" s="23" t="s">
        <v>4279</v>
      </c>
      <c r="N20" s="24">
        <v>3334</v>
      </c>
      <c r="O20" s="9">
        <v>2023</v>
      </c>
      <c r="P20" s="23" t="s">
        <v>4290</v>
      </c>
      <c r="Q20" s="9">
        <v>4</v>
      </c>
      <c r="R20" s="9" t="s">
        <v>4331</v>
      </c>
    </row>
    <row r="21" spans="1:18" x14ac:dyDescent="0.25">
      <c r="A21" s="17" t="s">
        <v>1136</v>
      </c>
      <c r="B21" s="18">
        <v>45084</v>
      </c>
      <c r="C21" s="19" t="s">
        <v>1480</v>
      </c>
      <c r="D21" s="19" t="s">
        <v>2403</v>
      </c>
      <c r="E21" s="8">
        <v>5</v>
      </c>
      <c r="F21" s="8">
        <v>678.19</v>
      </c>
      <c r="G21" s="19" t="s">
        <v>3008</v>
      </c>
      <c r="H21" s="19" t="s">
        <v>3066</v>
      </c>
      <c r="I21" s="19" t="s">
        <v>3072</v>
      </c>
      <c r="J21" s="19" t="s">
        <v>4197</v>
      </c>
      <c r="K21" s="8">
        <v>8</v>
      </c>
      <c r="L21" s="19" t="s">
        <v>4293</v>
      </c>
      <c r="M21" s="19" t="s">
        <v>4281</v>
      </c>
      <c r="N21" s="20">
        <v>3390.95</v>
      </c>
      <c r="O21" s="8">
        <v>2023</v>
      </c>
      <c r="P21" s="19" t="s">
        <v>4292</v>
      </c>
      <c r="Q21" s="8">
        <v>2</v>
      </c>
      <c r="R21" s="8" t="s">
        <v>4331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C06C-3343-4065-8C57-8C6957A895E1}">
  <dimension ref="A1"/>
  <sheetViews>
    <sheetView showGridLines="0" showRowColHeaders="0" workbookViewId="0">
      <selection activeCell="L12" sqref="L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1" sqref="B1:B1048576"/>
    </sheetView>
  </sheetViews>
  <sheetFormatPr defaultRowHeight="15" x14ac:dyDescent="0.25"/>
  <cols>
    <col min="1" max="1" width="10.140625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8F6922-3228-4712-97C0-66A82D38D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 DATA</vt:lpstr>
      <vt:lpstr>STATISTICAL TABLE</vt:lpstr>
      <vt:lpstr>OUTLIERS</vt:lpstr>
      <vt:lpstr>KEY OBSERVATIONS</vt:lpstr>
      <vt:lpstr>MESSY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Ogunniyi Samson</dc:creator>
  <cp:lastModifiedBy>Ogunniyi Samson</cp:lastModifiedBy>
  <dcterms:created xsi:type="dcterms:W3CDTF">2025-06-21T13:19:12Z</dcterms:created>
  <dcterms:modified xsi:type="dcterms:W3CDTF">2026-06-03T02:16:14Z</dcterms:modified>
</cp:coreProperties>
</file>